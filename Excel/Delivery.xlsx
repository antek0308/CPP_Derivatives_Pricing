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on\Documents\UW\4_semester\CPP\ccp_in_QF_II_project\Excel\"/>
    </mc:Choice>
  </mc:AlternateContent>
  <xr:revisionPtr revIDLastSave="0" documentId="13_ncr:1_{A3C83D61-7884-4F9B-8A93-A9E11BF97FE1}" xr6:coauthVersionLast="47" xr6:coauthVersionMax="47" xr10:uidLastSave="{00000000-0000-0000-0000-000000000000}"/>
  <bookViews>
    <workbookView xWindow="28680" yWindow="-120" windowWidth="29040" windowHeight="15720" activeTab="1" xr2:uid="{04710B95-6077-4540-8D71-F796DBE07594}"/>
  </bookViews>
  <sheets>
    <sheet name="Fly Params" sheetId="4" r:id="rId1"/>
    <sheet name="Price vs spot" sheetId="1" r:id="rId2"/>
    <sheet name="Price vs barrier" sheetId="2" r:id="rId3"/>
    <sheet name="Price vs vol" sheetId="3" r:id="rId4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 a="1"/>
  <c r="B4" i="1" a="1"/>
  <c r="B58" i="1" a="1"/>
  <c r="B5" i="1" a="1"/>
  <c r="B11" i="1" a="1"/>
  <c r="B23" i="1" a="1"/>
  <c r="B35" i="1" a="1"/>
  <c r="B47" i="1" a="1"/>
  <c r="B59" i="1" a="1"/>
  <c r="B36" i="1" a="1"/>
  <c r="B54" i="1" a="1"/>
  <c r="B66" i="1" a="1"/>
  <c r="B49" i="1" a="1"/>
  <c r="B61" i="1" a="1"/>
  <c r="B44" i="1" a="1"/>
  <c r="B56" i="1" a="1"/>
  <c r="B39" i="1" a="1"/>
  <c r="B40" i="1" a="1"/>
  <c r="B17" i="1" a="1"/>
  <c r="B29" i="1" a="1"/>
  <c r="B41" i="1" a="1"/>
  <c r="B53" i="1" a="1"/>
  <c r="B65" i="1" a="1"/>
  <c r="B42" i="1" a="1"/>
  <c r="B60" i="1" a="1"/>
  <c r="B31" i="1" a="1"/>
  <c r="B55" i="1" a="1"/>
  <c r="B6" i="1" a="1"/>
  <c r="B18" i="1" a="1"/>
  <c r="B30" i="1" a="1"/>
  <c r="B16" i="1" a="1"/>
  <c r="B12" i="1" a="1"/>
  <c r="B24" i="1" a="1"/>
  <c r="B48" i="1" a="1"/>
  <c r="B25" i="1" a="1"/>
  <c r="B51" i="1" a="1"/>
  <c r="B22" i="1" a="1"/>
  <c r="B52" i="1" a="1"/>
  <c r="B7" i="1" a="1"/>
  <c r="B19" i="1" a="1"/>
  <c r="B43" i="1" a="1"/>
  <c r="B67" i="1" a="1"/>
  <c r="B62" i="1" a="1"/>
  <c r="B45" i="1" a="1"/>
  <c r="B46" i="1" a="1"/>
  <c r="B13" i="1" a="1"/>
  <c r="B37" i="1" a="1"/>
  <c r="B57" i="1" a="1"/>
  <c r="B28" i="1" a="1"/>
  <c r="B8" i="1" a="1"/>
  <c r="B26" i="1" a="1"/>
  <c r="B32" i="1" a="1"/>
  <c r="B38" i="1" a="1"/>
  <c r="B50" i="1" a="1"/>
  <c r="B68" i="1" a="1"/>
  <c r="B2" i="1" a="1"/>
  <c r="B14" i="1" a="1"/>
  <c r="B20" i="1" a="1"/>
  <c r="B69" i="1" a="1"/>
  <c r="B10" i="1" a="1"/>
  <c r="B3" i="1" a="1"/>
  <c r="B9" i="1" a="1"/>
  <c r="B15" i="1" a="1"/>
  <c r="B21" i="1" a="1"/>
  <c r="B27" i="1" a="1"/>
  <c r="B33" i="1" a="1"/>
  <c r="B63" i="1" a="1"/>
  <c r="B34" i="1" a="1"/>
  <c r="B64" i="1" a="1"/>
  <c r="B30" i="3" a="1"/>
  <c r="B27" i="3" a="1"/>
  <c r="B22" i="3" a="1"/>
  <c r="B32" i="3" a="1"/>
  <c r="B28" i="3" a="1"/>
  <c r="B9" i="3" a="1"/>
  <c r="B21" i="3" a="1"/>
  <c r="B36" i="3" a="1"/>
  <c r="B23" i="3" a="1"/>
  <c r="B39" i="3" a="1"/>
  <c r="B34" i="3" a="1"/>
  <c r="B41" i="3" a="1"/>
  <c r="B14" i="3" a="1"/>
  <c r="B12" i="3" a="1"/>
  <c r="B25" i="3" a="1"/>
  <c r="B15" i="3" a="1"/>
  <c r="B33" i="3" a="1"/>
  <c r="B42" i="3" a="1"/>
  <c r="B26" i="3" a="1"/>
  <c r="B37" i="3" a="1"/>
  <c r="B4" i="3" a="1"/>
  <c r="B40" i="3" a="1"/>
  <c r="B35" i="3" a="1"/>
  <c r="B19" i="3" a="1"/>
  <c r="B3" i="3" a="1"/>
  <c r="B17" i="3" a="1"/>
  <c r="B6" i="3" a="1"/>
  <c r="B29" i="3" a="1"/>
  <c r="B16" i="3" a="1"/>
  <c r="B18" i="3" a="1"/>
  <c r="B2" i="3" a="1"/>
  <c r="B10" i="3" a="1"/>
  <c r="B7" i="3" a="1"/>
  <c r="B20" i="3" a="1"/>
  <c r="B5" i="3" a="1"/>
  <c r="B31" i="3" a="1"/>
  <c r="B13" i="3" a="1"/>
  <c r="B11" i="3" a="1"/>
  <c r="B24" i="3" a="1"/>
  <c r="B38" i="3" a="1"/>
  <c r="B8" i="3" a="1"/>
  <c r="B24" i="2" a="1"/>
  <c r="B39" i="2" a="1"/>
  <c r="B40" i="2" a="1"/>
  <c r="B35" i="2" a="1"/>
  <c r="B42" i="2" a="1"/>
  <c r="B31" i="2" a="1"/>
  <c r="B10" i="2" a="1"/>
  <c r="B37" i="2" a="1"/>
  <c r="B6" i="2" a="1"/>
  <c r="B15" i="2" a="1"/>
  <c r="B20" i="2" a="1"/>
  <c r="B17" i="2" a="1"/>
  <c r="B33" i="2" a="1"/>
  <c r="B29" i="2" a="1"/>
  <c r="B25" i="2" a="1"/>
  <c r="B2" i="2" a="1"/>
  <c r="B38" i="2" a="1"/>
  <c r="B3" i="2" a="1"/>
  <c r="B12" i="2" a="1"/>
  <c r="B11" i="2" a="1"/>
  <c r="B27" i="2" a="1"/>
  <c r="B5" i="2" a="1"/>
  <c r="B36" i="2" a="1"/>
  <c r="B41" i="2" a="1"/>
  <c r="B16" i="2" a="1"/>
  <c r="B34" i="2" a="1"/>
  <c r="B26" i="2" a="1"/>
  <c r="B32" i="2" a="1"/>
  <c r="B4" i="2" a="1"/>
  <c r="B13" i="2" a="1"/>
  <c r="B28" i="2" a="1"/>
  <c r="B9" i="2" a="1"/>
  <c r="B14" i="2" a="1"/>
  <c r="B18" i="2" a="1"/>
  <c r="B21" i="2" a="1"/>
  <c r="B30" i="2" a="1"/>
  <c r="B23" i="2" a="1"/>
  <c r="B22" i="2" a="1"/>
  <c r="B7" i="2" a="1"/>
  <c r="B19" i="2" a="1"/>
  <c r="B8" i="2" l="1"/>
  <c r="B64" i="1"/>
  <c r="B34" i="1"/>
  <c r="B63" i="1"/>
  <c r="B33" i="1"/>
  <c r="B27" i="1"/>
  <c r="B21" i="1"/>
  <c r="B15" i="1"/>
  <c r="B9" i="1"/>
  <c r="B3" i="1"/>
  <c r="B10" i="1"/>
  <c r="B69" i="1"/>
  <c r="B20" i="1"/>
  <c r="B14" i="1"/>
  <c r="B2" i="1"/>
  <c r="B68" i="1"/>
  <c r="B50" i="1"/>
  <c r="B38" i="1"/>
  <c r="B32" i="1"/>
  <c r="B26" i="1"/>
  <c r="B8" i="1"/>
  <c r="B28" i="1"/>
  <c r="B57" i="1"/>
  <c r="B37" i="1"/>
  <c r="B13" i="1"/>
  <c r="B46" i="1"/>
  <c r="B45" i="1"/>
  <c r="B62" i="1"/>
  <c r="B67" i="1"/>
  <c r="B43" i="1"/>
  <c r="B19" i="1"/>
  <c r="B7" i="1"/>
  <c r="B52" i="1"/>
  <c r="B22" i="1"/>
  <c r="B51" i="1"/>
  <c r="B25" i="1"/>
  <c r="B48" i="1"/>
  <c r="B24" i="1"/>
  <c r="B12" i="1"/>
  <c r="B16" i="1"/>
  <c r="B30" i="1"/>
  <c r="B18" i="1"/>
  <c r="B6" i="1"/>
  <c r="B55" i="1"/>
  <c r="B31" i="1"/>
  <c r="B60" i="1"/>
  <c r="B42" i="1"/>
  <c r="B65" i="1"/>
  <c r="B53" i="1"/>
  <c r="B41" i="1"/>
  <c r="B29" i="1"/>
  <c r="B17" i="1"/>
  <c r="B40" i="1"/>
  <c r="B39" i="1"/>
  <c r="B56" i="1"/>
  <c r="B44" i="1"/>
  <c r="B61" i="1"/>
  <c r="B49" i="1"/>
  <c r="B66" i="1"/>
  <c r="B54" i="1"/>
  <c r="B36" i="1"/>
  <c r="B59" i="1"/>
  <c r="B47" i="1"/>
  <c r="B35" i="1"/>
  <c r="B23" i="1"/>
  <c r="B11" i="1"/>
  <c r="B5" i="1"/>
  <c r="B58" i="1"/>
  <c r="B4" i="1"/>
  <c r="B2" i="2"/>
  <c r="B24" i="2"/>
  <c r="B20" i="2"/>
  <c r="B19" i="2"/>
  <c r="B22" i="2"/>
  <c r="B23" i="2"/>
  <c r="B9" i="2"/>
  <c r="B11" i="3"/>
  <c r="B10" i="3"/>
  <c r="B25" i="3"/>
  <c r="B19" i="3"/>
  <c r="B33" i="2"/>
  <c r="B21" i="2"/>
  <c r="B15" i="2"/>
  <c r="B3" i="2"/>
  <c r="B37" i="3"/>
  <c r="B12" i="3"/>
  <c r="B39" i="3"/>
  <c r="B27" i="3"/>
  <c r="B38" i="3"/>
  <c r="B37" i="2"/>
  <c r="B31" i="2"/>
  <c r="B25" i="2"/>
  <c r="B13" i="2"/>
  <c r="B7" i="2"/>
  <c r="B5" i="3"/>
  <c r="B20" i="3"/>
  <c r="B14" i="2"/>
  <c r="B7" i="3"/>
  <c r="B13" i="3"/>
  <c r="B2" i="3"/>
  <c r="B29" i="3"/>
  <c r="B35" i="3"/>
  <c r="B42" i="2"/>
  <c r="B36" i="2"/>
  <c r="B30" i="2"/>
  <c r="B18" i="2"/>
  <c r="B12" i="2"/>
  <c r="B6" i="2"/>
  <c r="B26" i="3"/>
  <c r="B32" i="2"/>
  <c r="B14" i="3"/>
  <c r="B23" i="3"/>
  <c r="B30" i="3"/>
  <c r="B17" i="3"/>
  <c r="B35" i="2"/>
  <c r="B29" i="2"/>
  <c r="B17" i="2"/>
  <c r="B11" i="2"/>
  <c r="B5" i="2"/>
  <c r="B8" i="3"/>
  <c r="B41" i="2"/>
  <c r="B26" i="2"/>
  <c r="B9" i="3"/>
  <c r="B24" i="3"/>
  <c r="B31" i="3"/>
  <c r="B18" i="3"/>
  <c r="B40" i="2"/>
  <c r="B28" i="2"/>
  <c r="B16" i="2"/>
  <c r="B10" i="2"/>
  <c r="B4" i="2"/>
  <c r="B6" i="3"/>
  <c r="B40" i="3"/>
  <c r="B34" i="2"/>
  <c r="B42" i="3"/>
  <c r="B38" i="2"/>
  <c r="B41" i="3"/>
  <c r="B36" i="3"/>
  <c r="B39" i="2"/>
  <c r="B27" i="2"/>
  <c r="B16" i="3"/>
  <c r="B4" i="3"/>
  <c r="B28" i="3"/>
  <c r="B32" i="3"/>
  <c r="B34" i="3"/>
  <c r="B22" i="3"/>
  <c r="B33" i="3"/>
  <c r="B21" i="3"/>
  <c r="B15" i="3"/>
  <c r="B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<sst xmlns="http://schemas.openxmlformats.org/spreadsheetml/2006/main" count="18" uniqueCount="13">
  <si>
    <t>S0</t>
  </si>
  <si>
    <t>Vol</t>
  </si>
  <si>
    <t>K1</t>
  </si>
  <si>
    <t>K2</t>
  </si>
  <si>
    <t>K3</t>
  </si>
  <si>
    <t>Expiry</t>
  </si>
  <si>
    <t>Barrier</t>
  </si>
  <si>
    <t>Spot</t>
  </si>
  <si>
    <t>Price</t>
  </si>
  <si>
    <t>Default Parmaters from the assignment</t>
  </si>
  <si>
    <t>r</t>
  </si>
  <si>
    <t>d</t>
  </si>
  <si>
    <t>&lt;- alreay in the pricer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</si>
</sst>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Price</a:t>
            </a:r>
            <a:r>
              <a:rPr lang="pl-PL" b="1"/>
              <a:t> vs Spot</a:t>
            </a:r>
            <a:r>
              <a:rPr lang="pl-PL" b="1" baseline="0"/>
              <a:t> Relationship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'Price vs spot'!$B$1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'Price vs spot'!$A$2:$A$73</c:f>
              <c:numCache>
                <c:formatCode>General</c:formatCode>
                <c:ptCount val="72"/>
                <c:pt idx="0">
                  <c:v>64</c:v>
                </c:pt>
                <c:pt idx="1">
                  <c:v>65</c:v>
                </c:pt>
                <c:pt idx="2">
                  <c:v>66</c:v>
                </c:pt>
                <c:pt idx="3">
                  <c:v>67</c:v>
                </c:pt>
                <c:pt idx="4">
                  <c:v>68</c:v>
                </c:pt>
                <c:pt idx="5">
                  <c:v>69</c:v>
                </c:pt>
                <c:pt idx="6">
                  <c:v>70</c:v>
                </c:pt>
                <c:pt idx="7">
                  <c:v>71</c:v>
                </c:pt>
                <c:pt idx="8">
                  <c:v>72</c:v>
                </c:pt>
                <c:pt idx="9">
                  <c:v>73</c:v>
                </c:pt>
                <c:pt idx="10">
                  <c:v>74</c:v>
                </c:pt>
                <c:pt idx="11">
                  <c:v>75</c:v>
                </c:pt>
                <c:pt idx="12">
                  <c:v>76</c:v>
                </c:pt>
                <c:pt idx="13">
                  <c:v>77</c:v>
                </c:pt>
                <c:pt idx="14">
                  <c:v>78</c:v>
                </c:pt>
                <c:pt idx="15">
                  <c:v>79</c:v>
                </c:pt>
                <c:pt idx="16">
                  <c:v>80</c:v>
                </c:pt>
                <c:pt idx="17">
                  <c:v>81</c:v>
                </c:pt>
                <c:pt idx="18">
                  <c:v>82</c:v>
                </c:pt>
                <c:pt idx="19">
                  <c:v>83</c:v>
                </c:pt>
                <c:pt idx="20">
                  <c:v>84</c:v>
                </c:pt>
                <c:pt idx="21">
                  <c:v>85</c:v>
                </c:pt>
                <c:pt idx="22">
                  <c:v>86</c:v>
                </c:pt>
                <c:pt idx="23">
                  <c:v>87</c:v>
                </c:pt>
                <c:pt idx="24">
                  <c:v>88</c:v>
                </c:pt>
                <c:pt idx="25">
                  <c:v>89</c:v>
                </c:pt>
                <c:pt idx="26">
                  <c:v>90</c:v>
                </c:pt>
                <c:pt idx="27">
                  <c:v>91</c:v>
                </c:pt>
                <c:pt idx="28">
                  <c:v>92</c:v>
                </c:pt>
                <c:pt idx="29">
                  <c:v>93</c:v>
                </c:pt>
                <c:pt idx="30">
                  <c:v>94</c:v>
                </c:pt>
                <c:pt idx="31">
                  <c:v>95</c:v>
                </c:pt>
                <c:pt idx="32">
                  <c:v>96</c:v>
                </c:pt>
                <c:pt idx="33">
                  <c:v>97</c:v>
                </c:pt>
                <c:pt idx="34">
                  <c:v>98</c:v>
                </c:pt>
                <c:pt idx="35">
                  <c:v>99</c:v>
                </c:pt>
                <c:pt idx="36">
                  <c:v>100</c:v>
                </c:pt>
                <c:pt idx="37">
                  <c:v>101</c:v>
                </c:pt>
                <c:pt idx="38">
                  <c:v>102</c:v>
                </c:pt>
                <c:pt idx="39">
                  <c:v>103</c:v>
                </c:pt>
                <c:pt idx="40">
                  <c:v>104</c:v>
                </c:pt>
                <c:pt idx="41">
                  <c:v>105</c:v>
                </c:pt>
                <c:pt idx="42">
                  <c:v>106</c:v>
                </c:pt>
                <c:pt idx="43">
                  <c:v>107</c:v>
                </c:pt>
                <c:pt idx="44">
                  <c:v>108</c:v>
                </c:pt>
                <c:pt idx="45">
                  <c:v>109</c:v>
                </c:pt>
                <c:pt idx="46">
                  <c:v>110</c:v>
                </c:pt>
                <c:pt idx="47">
                  <c:v>111</c:v>
                </c:pt>
                <c:pt idx="48">
                  <c:v>112</c:v>
                </c:pt>
                <c:pt idx="49">
                  <c:v>113</c:v>
                </c:pt>
                <c:pt idx="50">
                  <c:v>114</c:v>
                </c:pt>
                <c:pt idx="51">
                  <c:v>115</c:v>
                </c:pt>
                <c:pt idx="52">
                  <c:v>116</c:v>
                </c:pt>
                <c:pt idx="53">
                  <c:v>117</c:v>
                </c:pt>
                <c:pt idx="54">
                  <c:v>118</c:v>
                </c:pt>
                <c:pt idx="55">
                  <c:v>119</c:v>
                </c:pt>
                <c:pt idx="56">
                  <c:v>120</c:v>
                </c:pt>
                <c:pt idx="57">
                  <c:v>121</c:v>
                </c:pt>
                <c:pt idx="58">
                  <c:v>122</c:v>
                </c:pt>
                <c:pt idx="59">
                  <c:v>123</c:v>
                </c:pt>
                <c:pt idx="60">
                  <c:v>124</c:v>
                </c:pt>
                <c:pt idx="61">
                  <c:v>125</c:v>
                </c:pt>
                <c:pt idx="62">
                  <c:v>126</c:v>
                </c:pt>
                <c:pt idx="63">
                  <c:v>127</c:v>
                </c:pt>
                <c:pt idx="64">
                  <c:v>128</c:v>
                </c:pt>
                <c:pt idx="65">
                  <c:v>129</c:v>
                </c:pt>
                <c:pt idx="66">
                  <c:v>130</c:v>
                </c:pt>
                <c:pt idx="67">
                  <c:v>131</c:v>
                </c:pt>
              </c:numCache>
            </c:numRef>
          </c:cat>
          <c:val>
            <c:numRef>
              <c:f>'Price vs spot'!$B$2:$B$73</c:f>
              <c:numCache>
                <c:formatCode>General</c:formatCode>
                <c:ptCount val="72"/>
                <c:pt idx="0">
                  <c:v>5.7802762127323604E-4</c:v>
                </c:pt>
                <c:pt idx="1">
                  <c:v>5.2921978104407685E-3</c:v>
                </c:pt>
                <c:pt idx="2">
                  <c:v>1.0759413245239102E-2</c:v>
                </c:pt>
                <c:pt idx="3">
                  <c:v>1.7672814221967315E-2</c:v>
                </c:pt>
                <c:pt idx="4">
                  <c:v>2.7053968619874524E-2</c:v>
                </c:pt>
                <c:pt idx="5">
                  <c:v>3.9206575261829357E-2</c:v>
                </c:pt>
                <c:pt idx="6">
                  <c:v>5.3847362830929058E-2</c:v>
                </c:pt>
                <c:pt idx="7">
                  <c:v>7.1024789789198906E-2</c:v>
                </c:pt>
                <c:pt idx="8">
                  <c:v>9.1666128714429362E-2</c:v>
                </c:pt>
                <c:pt idx="9">
                  <c:v>0.1154243465752316</c:v>
                </c:pt>
                <c:pt idx="10">
                  <c:v>0.14324026094108433</c:v>
                </c:pt>
                <c:pt idx="11">
                  <c:v>0.17508550227127273</c:v>
                </c:pt>
                <c:pt idx="12">
                  <c:v>0.21169323732355849</c:v>
                </c:pt>
                <c:pt idx="13">
                  <c:v>0.25321304445905923</c:v>
                </c:pt>
                <c:pt idx="14">
                  <c:v>0.29884518042050701</c:v>
                </c:pt>
                <c:pt idx="15">
                  <c:v>0.3476308199326823</c:v>
                </c:pt>
                <c:pt idx="16">
                  <c:v>0.40003446385009056</c:v>
                </c:pt>
                <c:pt idx="17">
                  <c:v>0.45614602680065275</c:v>
                </c:pt>
                <c:pt idx="18">
                  <c:v>0.51590727456836305</c:v>
                </c:pt>
                <c:pt idx="19">
                  <c:v>0.58173984775571341</c:v>
                </c:pt>
                <c:pt idx="20">
                  <c:v>0.65216735892656885</c:v>
                </c:pt>
                <c:pt idx="21">
                  <c:v>0.7222954642128343</c:v>
                </c:pt>
                <c:pt idx="22">
                  <c:v>0.7942621544213111</c:v>
                </c:pt>
                <c:pt idx="23">
                  <c:v>0.8696561546205146</c:v>
                </c:pt>
                <c:pt idx="24">
                  <c:v>0.94881954696997894</c:v>
                </c:pt>
                <c:pt idx="25">
                  <c:v>1.0257637257324177</c:v>
                </c:pt>
                <c:pt idx="26">
                  <c:v>1.1059680218304386</c:v>
                </c:pt>
                <c:pt idx="27">
                  <c:v>1.1876111685017818</c:v>
                </c:pt>
                <c:pt idx="28">
                  <c:v>1.2672404148710861</c:v>
                </c:pt>
                <c:pt idx="29">
                  <c:v>1.3466312891349901</c:v>
                </c:pt>
                <c:pt idx="30">
                  <c:v>1.4233522680496087</c:v>
                </c:pt>
                <c:pt idx="31">
                  <c:v>1.4974060105905203</c:v>
                </c:pt>
                <c:pt idx="32">
                  <c:v>1.5657448605290369</c:v>
                </c:pt>
                <c:pt idx="33">
                  <c:v>1.6337333794203239</c:v>
                </c:pt>
                <c:pt idx="34">
                  <c:v>1.6940851574876952</c:v>
                </c:pt>
                <c:pt idx="35">
                  <c:v>1.7485611302622033</c:v>
                </c:pt>
                <c:pt idx="36">
                  <c:v>1.7961272222374376</c:v>
                </c:pt>
                <c:pt idx="37">
                  <c:v>1.8337855636355691</c:v>
                </c:pt>
                <c:pt idx="38">
                  <c:v>1.8623606450437009</c:v>
                </c:pt>
                <c:pt idx="39">
                  <c:v>1.8896368477748275</c:v>
                </c:pt>
                <c:pt idx="40">
                  <c:v>1.9109108460443416</c:v>
                </c:pt>
                <c:pt idx="41">
                  <c:v>1.9273668560335011</c:v>
                </c:pt>
                <c:pt idx="42">
                  <c:v>1.9327622287392199</c:v>
                </c:pt>
                <c:pt idx="43">
                  <c:v>1.9237530862459042</c:v>
                </c:pt>
                <c:pt idx="44">
                  <c:v>1.9194977280920931</c:v>
                </c:pt>
                <c:pt idx="45">
                  <c:v>1.8875984162816088</c:v>
                </c:pt>
                <c:pt idx="46">
                  <c:v>1.8583570568708385</c:v>
                </c:pt>
                <c:pt idx="47">
                  <c:v>1.8209022236268915</c:v>
                </c:pt>
                <c:pt idx="48">
                  <c:v>1.7813826357425144</c:v>
                </c:pt>
                <c:pt idx="49">
                  <c:v>1.7262994092417063</c:v>
                </c:pt>
                <c:pt idx="50">
                  <c:v>1.6533599565203136</c:v>
                </c:pt>
                <c:pt idx="51">
                  <c:v>1.5769372685193614</c:v>
                </c:pt>
                <c:pt idx="52">
                  <c:v>1.4995369072041882</c:v>
                </c:pt>
                <c:pt idx="53">
                  <c:v>1.4255853549065023</c:v>
                </c:pt>
                <c:pt idx="54">
                  <c:v>1.3255171062113398</c:v>
                </c:pt>
                <c:pt idx="55">
                  <c:v>1.2283043623867513</c:v>
                </c:pt>
                <c:pt idx="56">
                  <c:v>1.1245993325806851</c:v>
                </c:pt>
                <c:pt idx="57">
                  <c:v>1.0178976499963861</c:v>
                </c:pt>
                <c:pt idx="58">
                  <c:v>0.9166362797813461</c:v>
                </c:pt>
                <c:pt idx="59">
                  <c:v>0.81117603483658973</c:v>
                </c:pt>
                <c:pt idx="60">
                  <c:v>0.7060296572332434</c:v>
                </c:pt>
                <c:pt idx="61">
                  <c:v>0.61224827405471438</c:v>
                </c:pt>
                <c:pt idx="62">
                  <c:v>0.49413608286002786</c:v>
                </c:pt>
                <c:pt idx="63">
                  <c:v>0.35574065961323886</c:v>
                </c:pt>
                <c:pt idx="64">
                  <c:v>0.23850126552222406</c:v>
                </c:pt>
                <c:pt idx="65">
                  <c:v>0.11931414396467954</c:v>
                </c:pt>
                <c:pt idx="66">
                  <c:v>0</c:v>
                </c:pt>
                <c:pt idx="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3A-447A-A9D3-F81AFC26C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6182623"/>
        <c:axId val="1796180703"/>
      </c:lineChart>
      <c:catAx>
        <c:axId val="179618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180703"/>
        <c:crosses val="autoZero"/>
        <c:auto val="1"/>
        <c:lblAlgn val="ctr"/>
        <c:lblOffset val="100"/>
        <c:noMultiLvlLbl val="0"/>
      </c:catAx>
      <c:valAx>
        <c:axId val="1796180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182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Price</a:t>
            </a:r>
            <a:r>
              <a:rPr lang="pl-PL" b="1"/>
              <a:t> vs Barrier Relationship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'Price vs barrier'!$B$1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'Price vs barrier'!$A$2:$A$42</c:f>
              <c:numCache>
                <c:formatCode>General</c:formatCode>
                <c:ptCount val="41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  <c:pt idx="10">
                  <c:v>100</c:v>
                </c:pt>
                <c:pt idx="11">
                  <c:v>101</c:v>
                </c:pt>
                <c:pt idx="12">
                  <c:v>102</c:v>
                </c:pt>
                <c:pt idx="13">
                  <c:v>103</c:v>
                </c:pt>
                <c:pt idx="14">
                  <c:v>104</c:v>
                </c:pt>
                <c:pt idx="15">
                  <c:v>105</c:v>
                </c:pt>
                <c:pt idx="16">
                  <c:v>106</c:v>
                </c:pt>
                <c:pt idx="17">
                  <c:v>107</c:v>
                </c:pt>
                <c:pt idx="18">
                  <c:v>108</c:v>
                </c:pt>
                <c:pt idx="19">
                  <c:v>109</c:v>
                </c:pt>
                <c:pt idx="20">
                  <c:v>110</c:v>
                </c:pt>
                <c:pt idx="21">
                  <c:v>111</c:v>
                </c:pt>
                <c:pt idx="22">
                  <c:v>112</c:v>
                </c:pt>
                <c:pt idx="23">
                  <c:v>113</c:v>
                </c:pt>
                <c:pt idx="24">
                  <c:v>114</c:v>
                </c:pt>
                <c:pt idx="25">
                  <c:v>115</c:v>
                </c:pt>
                <c:pt idx="26">
                  <c:v>116</c:v>
                </c:pt>
                <c:pt idx="27">
                  <c:v>117</c:v>
                </c:pt>
                <c:pt idx="28">
                  <c:v>118</c:v>
                </c:pt>
                <c:pt idx="29">
                  <c:v>119</c:v>
                </c:pt>
                <c:pt idx="30">
                  <c:v>120</c:v>
                </c:pt>
                <c:pt idx="31">
                  <c:v>121</c:v>
                </c:pt>
                <c:pt idx="32">
                  <c:v>122</c:v>
                </c:pt>
                <c:pt idx="33">
                  <c:v>123</c:v>
                </c:pt>
                <c:pt idx="34">
                  <c:v>124</c:v>
                </c:pt>
                <c:pt idx="35">
                  <c:v>125</c:v>
                </c:pt>
                <c:pt idx="36">
                  <c:v>126</c:v>
                </c:pt>
                <c:pt idx="37">
                  <c:v>127</c:v>
                </c:pt>
                <c:pt idx="38">
                  <c:v>128</c:v>
                </c:pt>
                <c:pt idx="39">
                  <c:v>129</c:v>
                </c:pt>
                <c:pt idx="40">
                  <c:v>130</c:v>
                </c:pt>
              </c:numCache>
            </c:numRef>
          </c:cat>
          <c:val>
            <c:numRef>
              <c:f>'Price vs barrier'!$B$2:$B$42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2.7962691171640186E-2</c:v>
                </c:pt>
                <c:pt idx="22">
                  <c:v>6.7777492243128901E-2</c:v>
                </c:pt>
                <c:pt idx="23">
                  <c:v>0.14543881139606851</c:v>
                </c:pt>
                <c:pt idx="24">
                  <c:v>0.23904628048718468</c:v>
                </c:pt>
                <c:pt idx="25">
                  <c:v>0.30659956296545854</c:v>
                </c:pt>
                <c:pt idx="26">
                  <c:v>0.40888188953313342</c:v>
                </c:pt>
                <c:pt idx="27">
                  <c:v>0.52739383298460396</c:v>
                </c:pt>
                <c:pt idx="28">
                  <c:v>0.64381212836634294</c:v>
                </c:pt>
                <c:pt idx="29">
                  <c:v>0.77595610507325929</c:v>
                </c:pt>
                <c:pt idx="30">
                  <c:v>0.91102014561373323</c:v>
                </c:pt>
                <c:pt idx="31">
                  <c:v>1.0374245671186078</c:v>
                </c:pt>
                <c:pt idx="32">
                  <c:v>1.1719679818243085</c:v>
                </c:pt>
                <c:pt idx="33">
                  <c:v>1.2804156906125748</c:v>
                </c:pt>
                <c:pt idx="34">
                  <c:v>1.3854052142857753</c:v>
                </c:pt>
                <c:pt idx="35">
                  <c:v>1.4883406698727892</c:v>
                </c:pt>
                <c:pt idx="36">
                  <c:v>1.5903674327693906</c:v>
                </c:pt>
                <c:pt idx="37">
                  <c:v>1.6789952010944873</c:v>
                </c:pt>
                <c:pt idx="38">
                  <c:v>1.7462334310187764</c:v>
                </c:pt>
                <c:pt idx="39">
                  <c:v>1.8043124292199</c:v>
                </c:pt>
                <c:pt idx="40">
                  <c:v>1.8583570568708385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73-4753-9157-59FE25D4C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516335"/>
        <c:axId val="1908515855"/>
      </c:lineChart>
      <c:catAx>
        <c:axId val="190851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515855"/>
        <c:crosses val="autoZero"/>
        <c:auto val="1"/>
        <c:lblAlgn val="ctr"/>
        <c:lblOffset val="100"/>
        <c:noMultiLvlLbl val="0"/>
      </c:catAx>
      <c:valAx>
        <c:axId val="190851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51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Price</a:t>
            </a:r>
            <a:r>
              <a:rPr lang="pl-PL" b="1"/>
              <a:t> vs Volatility Relationship</a:t>
            </a:r>
            <a:endParaRPr lang="en-US" b="1"/>
          </a:p>
        </c:rich>
      </c:tx>
      <c:layout>
        <c:manualLayout>
          <c:xMode val="edge"/>
          <c:yMode val="edge"/>
          <c:x val="0.2524234470691164"/>
          <c:y val="2.8268551236749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'Price vs vol'!$B$1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'Price vs vol'!$A$2:$A$42</c:f>
              <c:numCache>
                <c:formatCode>General</c:formatCode>
                <c:ptCount val="41"/>
                <c:pt idx="0">
                  <c:v>0.1</c:v>
                </c:pt>
                <c:pt idx="1">
                  <c:v>0.11</c:v>
                </c:pt>
                <c:pt idx="2">
                  <c:v>0.12</c:v>
                </c:pt>
                <c:pt idx="3">
                  <c:v>0.13</c:v>
                </c:pt>
                <c:pt idx="4">
                  <c:v>0.14000000000000001</c:v>
                </c:pt>
                <c:pt idx="5">
                  <c:v>0.15</c:v>
                </c:pt>
                <c:pt idx="6">
                  <c:v>0.16</c:v>
                </c:pt>
                <c:pt idx="7">
                  <c:v>0.17</c:v>
                </c:pt>
                <c:pt idx="8">
                  <c:v>0.18</c:v>
                </c:pt>
                <c:pt idx="9">
                  <c:v>0.19</c:v>
                </c:pt>
                <c:pt idx="10">
                  <c:v>0.2</c:v>
                </c:pt>
                <c:pt idx="11">
                  <c:v>0.21</c:v>
                </c:pt>
                <c:pt idx="12">
                  <c:v>0.22</c:v>
                </c:pt>
                <c:pt idx="13">
                  <c:v>0.23</c:v>
                </c:pt>
                <c:pt idx="14">
                  <c:v>0.24</c:v>
                </c:pt>
                <c:pt idx="15">
                  <c:v>0.25</c:v>
                </c:pt>
                <c:pt idx="16">
                  <c:v>0.26</c:v>
                </c:pt>
                <c:pt idx="17">
                  <c:v>0.27</c:v>
                </c:pt>
                <c:pt idx="18">
                  <c:v>0.28000000000000003</c:v>
                </c:pt>
                <c:pt idx="19">
                  <c:v>0.28999999999999998</c:v>
                </c:pt>
                <c:pt idx="20">
                  <c:v>0.3</c:v>
                </c:pt>
                <c:pt idx="21">
                  <c:v>0.31</c:v>
                </c:pt>
                <c:pt idx="22">
                  <c:v>0.32</c:v>
                </c:pt>
                <c:pt idx="23">
                  <c:v>0.33</c:v>
                </c:pt>
                <c:pt idx="24">
                  <c:v>0.34</c:v>
                </c:pt>
                <c:pt idx="25">
                  <c:v>0.35</c:v>
                </c:pt>
                <c:pt idx="26">
                  <c:v>0.36</c:v>
                </c:pt>
                <c:pt idx="27">
                  <c:v>0.37</c:v>
                </c:pt>
                <c:pt idx="28">
                  <c:v>0.38</c:v>
                </c:pt>
                <c:pt idx="29">
                  <c:v>0.39</c:v>
                </c:pt>
                <c:pt idx="30">
                  <c:v>0.4</c:v>
                </c:pt>
                <c:pt idx="31">
                  <c:v>0.41</c:v>
                </c:pt>
                <c:pt idx="32">
                  <c:v>0.42</c:v>
                </c:pt>
                <c:pt idx="33">
                  <c:v>0.43</c:v>
                </c:pt>
                <c:pt idx="34">
                  <c:v>0.44</c:v>
                </c:pt>
                <c:pt idx="35">
                  <c:v>0.45</c:v>
                </c:pt>
                <c:pt idx="36">
                  <c:v>0.46</c:v>
                </c:pt>
                <c:pt idx="37">
                  <c:v>0.47</c:v>
                </c:pt>
                <c:pt idx="38">
                  <c:v>0.48</c:v>
                </c:pt>
                <c:pt idx="39">
                  <c:v>0.49</c:v>
                </c:pt>
                <c:pt idx="40">
                  <c:v>0.5</c:v>
                </c:pt>
              </c:numCache>
            </c:numRef>
          </c:cat>
          <c:val>
            <c:numRef>
              <c:f>'Price vs vol'!$B$2:$B$42</c:f>
              <c:numCache>
                <c:formatCode>0.00</c:formatCode>
                <c:ptCount val="41"/>
                <c:pt idx="0">
                  <c:v>4.2445489795389708</c:v>
                </c:pt>
                <c:pt idx="1">
                  <c:v>3.9688435128858908</c:v>
                </c:pt>
                <c:pt idx="2">
                  <c:v>3.7192454920194908</c:v>
                </c:pt>
                <c:pt idx="3">
                  <c:v>3.4912475960139853</c:v>
                </c:pt>
                <c:pt idx="4">
                  <c:v>3.2802441249134953</c:v>
                </c:pt>
                <c:pt idx="5">
                  <c:v>3.0833213713433389</c:v>
                </c:pt>
                <c:pt idx="6">
                  <c:v>2.8982338587863437</c:v>
                </c:pt>
                <c:pt idx="7">
                  <c:v>2.7241566692795551</c:v>
                </c:pt>
                <c:pt idx="8">
                  <c:v>2.5636423386376928</c:v>
                </c:pt>
                <c:pt idx="9">
                  <c:v>2.4050048511597044</c:v>
                </c:pt>
                <c:pt idx="10">
                  <c:v>2.2605169715067799</c:v>
                </c:pt>
                <c:pt idx="11">
                  <c:v>2.1218130343404926</c:v>
                </c:pt>
                <c:pt idx="12">
                  <c:v>1.9806582646617201</c:v>
                </c:pt>
                <c:pt idx="13">
                  <c:v>1.8583570568708385</c:v>
                </c:pt>
                <c:pt idx="14">
                  <c:v>1.7423928408351603</c:v>
                </c:pt>
                <c:pt idx="15">
                  <c:v>1.63389471493233</c:v>
                </c:pt>
                <c:pt idx="16">
                  <c:v>1.5383738961462861</c:v>
                </c:pt>
                <c:pt idx="17">
                  <c:v>1.4455746876770448</c:v>
                </c:pt>
                <c:pt idx="18">
                  <c:v>1.3527977916074612</c:v>
                </c:pt>
                <c:pt idx="19">
                  <c:v>1.2645245399924967</c:v>
                </c:pt>
                <c:pt idx="20">
                  <c:v>1.1777505209969146</c:v>
                </c:pt>
                <c:pt idx="21">
                  <c:v>1.0977296836683994</c:v>
                </c:pt>
                <c:pt idx="22">
                  <c:v>1.0235488612128414</c:v>
                </c:pt>
                <c:pt idx="23">
                  <c:v>0.95668597429344437</c:v>
                </c:pt>
                <c:pt idx="24">
                  <c:v>0.89632615681331451</c:v>
                </c:pt>
                <c:pt idx="25">
                  <c:v>0.84301463188661074</c:v>
                </c:pt>
                <c:pt idx="26">
                  <c:v>0.79858109091482099</c:v>
                </c:pt>
                <c:pt idx="27">
                  <c:v>0.75757774569119007</c:v>
                </c:pt>
                <c:pt idx="28">
                  <c:v>0.71314214652871044</c:v>
                </c:pt>
                <c:pt idx="29">
                  <c:v>0.66480853261455408</c:v>
                </c:pt>
                <c:pt idx="30">
                  <c:v>0.61607079502593898</c:v>
                </c:pt>
                <c:pt idx="31">
                  <c:v>0.57285369430810995</c:v>
                </c:pt>
                <c:pt idx="32">
                  <c:v>0.53927077101698728</c:v>
                </c:pt>
                <c:pt idx="33">
                  <c:v>0.51328378740108604</c:v>
                </c:pt>
                <c:pt idx="34">
                  <c:v>0.48979766948023062</c:v>
                </c:pt>
                <c:pt idx="35">
                  <c:v>0.46582670898617451</c:v>
                </c:pt>
                <c:pt idx="36">
                  <c:v>0.44074211989477519</c:v>
                </c:pt>
                <c:pt idx="37">
                  <c:v>0.41404347041275891</c:v>
                </c:pt>
                <c:pt idx="38">
                  <c:v>0.38512183991061377</c:v>
                </c:pt>
                <c:pt idx="39">
                  <c:v>0.35582019392578701</c:v>
                </c:pt>
                <c:pt idx="40">
                  <c:v>0.32770480078904463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E8-453D-A0EE-3F7BF760C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8116544"/>
        <c:axId val="278109824"/>
      </c:lineChart>
      <c:catAx>
        <c:axId val="27811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109824"/>
        <c:crosses val="autoZero"/>
        <c:auto val="1"/>
        <c:lblAlgn val="ctr"/>
        <c:lblOffset val="100"/>
        <c:noMultiLvlLbl val="0"/>
      </c:catAx>
      <c:valAx>
        <c:axId val="27810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11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</xdr:colOff>
      <xdr:row>0</xdr:row>
      <xdr:rowOff>125412</xdr:rowOff>
    </xdr:from>
    <xdr:to>
      <xdr:col>12</xdr:col>
      <xdr:colOff>342900</xdr:colOff>
      <xdr:row>18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6C09F3-88FF-0C70-3F2B-64C55C593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608012</xdr:colOff>
      <xdr:row>3</xdr:row>
      <xdr:rowOff>115887</xdr:rowOff>
    </xdr:from>
    <xdr:to>
      <xdr:col>10</xdr:col>
      <xdr:colOff>303212</xdr:colOff>
      <xdr:row>18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8F0F41-A054-EA16-4481-BCFD27D0C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606425</xdr:colOff>
      <xdr:row>1</xdr:row>
      <xdr:rowOff>34925</xdr:rowOff>
    </xdr:from>
    <xdr:to>
      <xdr:col>10</xdr:col>
      <xdr:colOff>301625</xdr:colOff>
      <xdr:row>16</xdr:row>
      <xdr:rowOff>15875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69A6409-41BC-7C3C-F161-D858BCD62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B944E-497E-4974-82F0-790C99014364}">
  <dimension ref="A2:D12"/>
  <sheetViews>
    <sheetView workbookViewId="0">
      <selection activeCell="E23" sqref="E23"/>
    </sheetView>
  </sheetViews>
  <sheetFormatPr defaultRowHeight="14.5" x14ac:dyDescent="0.35"/>
  <cols>
    <col min="1" max="3" width="8.7265625" style="1"/>
    <col min="4" max="4" width="9.54296875" style="1" customWidth="1"/>
    <col min="5" max="16384" width="8.7265625" style="1"/>
  </cols>
  <sheetData>
    <row r="2" spans="1:4" x14ac:dyDescent="0.35">
      <c r="A2" s="11" t="s">
        <v>9</v>
      </c>
      <c r="B2" s="12"/>
      <c r="C2" s="12"/>
      <c r="D2" s="13"/>
    </row>
    <row r="3" spans="1:4" x14ac:dyDescent="0.35">
      <c r="A3" s="2"/>
      <c r="B3" s="3"/>
      <c r="C3" s="3"/>
      <c r="D3" s="4"/>
    </row>
    <row r="4" spans="1:4" x14ac:dyDescent="0.35">
      <c r="A4" s="5" t="s">
        <v>0</v>
      </c>
      <c r="B4" s="6">
        <v>110</v>
      </c>
      <c r="C4" s="6"/>
      <c r="D4" s="7"/>
    </row>
    <row r="5" spans="1:4" x14ac:dyDescent="0.35">
      <c r="A5" s="5" t="s">
        <v>1</v>
      </c>
      <c r="B5" s="6">
        <v>0.23</v>
      </c>
      <c r="C5" s="6"/>
      <c r="D5" s="7"/>
    </row>
    <row r="6" spans="1:4" x14ac:dyDescent="0.35">
      <c r="A6" s="5" t="s">
        <v>6</v>
      </c>
      <c r="B6" s="6">
        <v>130</v>
      </c>
      <c r="C6" s="6"/>
      <c r="D6" s="7"/>
    </row>
    <row r="7" spans="1:4" x14ac:dyDescent="0.35">
      <c r="A7" s="5" t="s">
        <v>5</v>
      </c>
      <c r="B7" s="6">
        <v>0.5</v>
      </c>
      <c r="C7" s="6"/>
      <c r="D7" s="7"/>
    </row>
    <row r="8" spans="1:4" x14ac:dyDescent="0.35">
      <c r="A8" s="5" t="s">
        <v>2</v>
      </c>
      <c r="B8" s="6">
        <v>100</v>
      </c>
      <c r="C8" s="6"/>
      <c r="D8" s="7"/>
    </row>
    <row r="9" spans="1:4" x14ac:dyDescent="0.35">
      <c r="A9" s="5" t="s">
        <v>3</v>
      </c>
      <c r="B9" s="6">
        <v>110</v>
      </c>
      <c r="C9" s="6"/>
      <c r="D9" s="7"/>
    </row>
    <row r="10" spans="1:4" x14ac:dyDescent="0.35">
      <c r="A10" s="5" t="s">
        <v>4</v>
      </c>
      <c r="B10" s="6">
        <v>120</v>
      </c>
      <c r="C10" s="6"/>
      <c r="D10" s="7"/>
    </row>
    <row r="11" spans="1:4" x14ac:dyDescent="0.35">
      <c r="A11" s="5" t="s">
        <v>10</v>
      </c>
      <c r="B11" s="6">
        <v>0.05</v>
      </c>
      <c r="C11" s="6" t="s">
        <v>12</v>
      </c>
      <c r="D11" s="7"/>
    </row>
    <row r="12" spans="1:4" x14ac:dyDescent="0.35">
      <c r="A12" s="8" t="s">
        <v>11</v>
      </c>
      <c r="B12" s="9">
        <v>0</v>
      </c>
      <c r="C12" s="9" t="s">
        <v>12</v>
      </c>
      <c r="D12" s="10"/>
    </row>
  </sheetData>
  <mergeCells count="1"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4432-713D-4F77-B7D6-50149E7DBB2E}">
  <dimension ref="A1:B69"/>
  <sheetViews>
    <sheetView tabSelected="1" workbookViewId="0">
      <selection activeCell="F20" sqref="F20"/>
    </sheetView>
  </sheetViews>
  <sheetFormatPr defaultRowHeight="14.5" x14ac:dyDescent="0.35"/>
  <cols>
    <col min="1" max="16384" width="8.7265625" style="1"/>
  </cols>
  <sheetData>
    <row r="1" spans="1:2" x14ac:dyDescent="0.35">
      <c r="A1" s="1" t="s">
        <v>7</v>
      </c>
      <c r="B1" s="1" t="s">
        <v>8</v>
      </c>
    </row>
    <row r="2" spans="1:2" x14ac:dyDescent="0.35">
      <c r="A2" s="1">
        <v>64</v>
      </c>
      <c r="B2" s="1" cm="1">
        <f t="array" ref="B2">_xll.PriceButterfly(A2,'Fly Params'!$B$5,'Fly Params'!$B$6,'Fly Params'!$B$7,'Fly Params'!$B$8,'Fly Params'!$B$9,'Fly Params'!$B$10)</f>
        <v>5.7802762127323604E-4</v>
      </c>
    </row>
    <row r="3" spans="1:2" x14ac:dyDescent="0.35">
      <c r="A3" s="1">
        <v>65</v>
      </c>
      <c r="B3" s="1" cm="1">
        <f t="array" ref="B3">_xll.PriceButterfly(A3,'Fly Params'!$B$5,'Fly Params'!$B$6,'Fly Params'!$B$7,'Fly Params'!$B$8,'Fly Params'!$B$9,'Fly Params'!$B$10)</f>
        <v>5.2921978104407685E-3</v>
      </c>
    </row>
    <row r="4" spans="1:2" x14ac:dyDescent="0.35">
      <c r="A4" s="1">
        <v>66</v>
      </c>
      <c r="B4" s="1" cm="1">
        <f t="array" ref="B4">_xll.PriceButterfly(A4,'Fly Params'!$B$5,'Fly Params'!$B$6,'Fly Params'!$B$7,'Fly Params'!$B$8,'Fly Params'!$B$9,'Fly Params'!$B$10)</f>
        <v>1.0759413245239102E-2</v>
      </c>
    </row>
    <row r="5" spans="1:2" x14ac:dyDescent="0.35">
      <c r="A5" s="1">
        <v>67</v>
      </c>
      <c r="B5" s="1" cm="1">
        <f t="array" ref="B5">_xll.PriceButterfly(A5,'Fly Params'!$B$5,'Fly Params'!$B$6,'Fly Params'!$B$7,'Fly Params'!$B$8,'Fly Params'!$B$9,'Fly Params'!$B$10)</f>
        <v>1.7672814221967315E-2</v>
      </c>
    </row>
    <row r="6" spans="1:2" x14ac:dyDescent="0.35">
      <c r="A6" s="1">
        <v>68</v>
      </c>
      <c r="B6" s="1" cm="1">
        <f t="array" ref="B6">_xll.PriceButterfly(A6,'Fly Params'!$B$5,'Fly Params'!$B$6,'Fly Params'!$B$7,'Fly Params'!$B$8,'Fly Params'!$B$9,'Fly Params'!$B$10)</f>
        <v>2.7053968619874524E-2</v>
      </c>
    </row>
    <row r="7" spans="1:2" x14ac:dyDescent="0.35">
      <c r="A7" s="1">
        <v>69</v>
      </c>
      <c r="B7" s="1" cm="1">
        <f t="array" ref="B7">_xll.PriceButterfly(A7,'Fly Params'!$B$5,'Fly Params'!$B$6,'Fly Params'!$B$7,'Fly Params'!$B$8,'Fly Params'!$B$9,'Fly Params'!$B$10)</f>
        <v>3.9206575261829357E-2</v>
      </c>
    </row>
    <row r="8" spans="1:2" x14ac:dyDescent="0.35">
      <c r="A8" s="1">
        <v>70</v>
      </c>
      <c r="B8" s="1" cm="1">
        <f t="array" ref="B8">_xll.PriceButterfly(A8,'Fly Params'!$B$5,'Fly Params'!$B$6,'Fly Params'!$B$7,'Fly Params'!$B$8,'Fly Params'!$B$9,'Fly Params'!$B$10)</f>
        <v>5.3847362830929058E-2</v>
      </c>
    </row>
    <row r="9" spans="1:2" x14ac:dyDescent="0.35">
      <c r="A9" s="1">
        <v>71</v>
      </c>
      <c r="B9" s="1" cm="1">
        <f t="array" ref="B9">_xll.PriceButterfly(A9,'Fly Params'!$B$5,'Fly Params'!$B$6,'Fly Params'!$B$7,'Fly Params'!$B$8,'Fly Params'!$B$9,'Fly Params'!$B$10)</f>
        <v>7.1024789789198906E-2</v>
      </c>
    </row>
    <row r="10" spans="1:2" x14ac:dyDescent="0.35">
      <c r="A10" s="1">
        <v>72</v>
      </c>
      <c r="B10" s="1" cm="1">
        <f t="array" ref="B10">_xll.PriceButterfly(A10,'Fly Params'!$B$5,'Fly Params'!$B$6,'Fly Params'!$B$7,'Fly Params'!$B$8,'Fly Params'!$B$9,'Fly Params'!$B$10)</f>
        <v>9.1666128714429362E-2</v>
      </c>
    </row>
    <row r="11" spans="1:2" x14ac:dyDescent="0.35">
      <c r="A11" s="1">
        <v>73</v>
      </c>
      <c r="B11" s="1" cm="1">
        <f t="array" ref="B11">_xll.PriceButterfly(A11,'Fly Params'!$B$5,'Fly Params'!$B$6,'Fly Params'!$B$7,'Fly Params'!$B$8,'Fly Params'!$B$9,'Fly Params'!$B$10)</f>
        <v>0.1154243465752316</v>
      </c>
    </row>
    <row r="12" spans="1:2" x14ac:dyDescent="0.35">
      <c r="A12" s="1">
        <v>74</v>
      </c>
      <c r="B12" s="1" cm="1">
        <f t="array" ref="B12">_xll.PriceButterfly(A12,'Fly Params'!$B$5,'Fly Params'!$B$6,'Fly Params'!$B$7,'Fly Params'!$B$8,'Fly Params'!$B$9,'Fly Params'!$B$10)</f>
        <v>0.14324026094108433</v>
      </c>
    </row>
    <row r="13" spans="1:2" x14ac:dyDescent="0.35">
      <c r="A13" s="1">
        <v>75</v>
      </c>
      <c r="B13" s="1" cm="1">
        <f t="array" ref="B13">_xll.PriceButterfly(A13,'Fly Params'!$B$5,'Fly Params'!$B$6,'Fly Params'!$B$7,'Fly Params'!$B$8,'Fly Params'!$B$9,'Fly Params'!$B$10)</f>
        <v>0.17508550227127273</v>
      </c>
    </row>
    <row r="14" spans="1:2" x14ac:dyDescent="0.35">
      <c r="A14" s="1">
        <v>76</v>
      </c>
      <c r="B14" s="1" cm="1">
        <f t="array" ref="B14">_xll.PriceButterfly(A14,'Fly Params'!$B$5,'Fly Params'!$B$6,'Fly Params'!$B$7,'Fly Params'!$B$8,'Fly Params'!$B$9,'Fly Params'!$B$10)</f>
        <v>0.21169323732355849</v>
      </c>
    </row>
    <row r="15" spans="1:2" x14ac:dyDescent="0.35">
      <c r="A15" s="1">
        <v>77</v>
      </c>
      <c r="B15" s="1" cm="1">
        <f t="array" ref="B15">_xll.PriceButterfly(A15,'Fly Params'!$B$5,'Fly Params'!$B$6,'Fly Params'!$B$7,'Fly Params'!$B$8,'Fly Params'!$B$9,'Fly Params'!$B$10)</f>
        <v>0.25321304445905923</v>
      </c>
    </row>
    <row r="16" spans="1:2" x14ac:dyDescent="0.35">
      <c r="A16" s="1">
        <v>78</v>
      </c>
      <c r="B16" s="1" cm="1">
        <f t="array" ref="B16">_xll.PriceButterfly(A16,'Fly Params'!$B$5,'Fly Params'!$B$6,'Fly Params'!$B$7,'Fly Params'!$B$8,'Fly Params'!$B$9,'Fly Params'!$B$10)</f>
        <v>0.29884518042050701</v>
      </c>
    </row>
    <row r="17" spans="1:2" x14ac:dyDescent="0.35">
      <c r="A17" s="1">
        <v>79</v>
      </c>
      <c r="B17" s="1" cm="1">
        <f t="array" ref="B17">_xll.PriceButterfly(A17,'Fly Params'!$B$5,'Fly Params'!$B$6,'Fly Params'!$B$7,'Fly Params'!$B$8,'Fly Params'!$B$9,'Fly Params'!$B$10)</f>
        <v>0.3476308199326823</v>
      </c>
    </row>
    <row r="18" spans="1:2" x14ac:dyDescent="0.35">
      <c r="A18" s="1">
        <v>80</v>
      </c>
      <c r="B18" s="1" cm="1">
        <f t="array" ref="B18">_xll.PriceButterfly(A18,'Fly Params'!$B$5,'Fly Params'!$B$6,'Fly Params'!$B$7,'Fly Params'!$B$8,'Fly Params'!$B$9,'Fly Params'!$B$10)</f>
        <v>0.40003446385009056</v>
      </c>
    </row>
    <row r="19" spans="1:2" x14ac:dyDescent="0.35">
      <c r="A19" s="1">
        <v>81</v>
      </c>
      <c r="B19" s="1" cm="1">
        <f t="array" ref="B19">_xll.PriceButterfly(A19,'Fly Params'!$B$5,'Fly Params'!$B$6,'Fly Params'!$B$7,'Fly Params'!$B$8,'Fly Params'!$B$9,'Fly Params'!$B$10)</f>
        <v>0.45614602680065275</v>
      </c>
    </row>
    <row r="20" spans="1:2" x14ac:dyDescent="0.35">
      <c r="A20" s="1">
        <v>82</v>
      </c>
      <c r="B20" s="1" cm="1">
        <f t="array" ref="B20">_xll.PriceButterfly(A20,'Fly Params'!$B$5,'Fly Params'!$B$6,'Fly Params'!$B$7,'Fly Params'!$B$8,'Fly Params'!$B$9,'Fly Params'!$B$10)</f>
        <v>0.51590727456836305</v>
      </c>
    </row>
    <row r="21" spans="1:2" x14ac:dyDescent="0.35">
      <c r="A21" s="1">
        <v>83</v>
      </c>
      <c r="B21" s="1" cm="1">
        <f t="array" ref="B21">_xll.PriceButterfly(A21,'Fly Params'!$B$5,'Fly Params'!$B$6,'Fly Params'!$B$7,'Fly Params'!$B$8,'Fly Params'!$B$9,'Fly Params'!$B$10)</f>
        <v>0.58173984775571341</v>
      </c>
    </row>
    <row r="22" spans="1:2" x14ac:dyDescent="0.35">
      <c r="A22" s="1">
        <v>84</v>
      </c>
      <c r="B22" s="1" cm="1">
        <f t="array" ref="B22">_xll.PriceButterfly(A22,'Fly Params'!$B$5,'Fly Params'!$B$6,'Fly Params'!$B$7,'Fly Params'!$B$8,'Fly Params'!$B$9,'Fly Params'!$B$10)</f>
        <v>0.65216735892656885</v>
      </c>
    </row>
    <row r="23" spans="1:2" x14ac:dyDescent="0.35">
      <c r="A23" s="1">
        <v>85</v>
      </c>
      <c r="B23" s="1" cm="1">
        <f t="array" ref="B23">_xll.PriceButterfly(A23,'Fly Params'!$B$5,'Fly Params'!$B$6,'Fly Params'!$B$7,'Fly Params'!$B$8,'Fly Params'!$B$9,'Fly Params'!$B$10)</f>
        <v>0.7222954642128343</v>
      </c>
    </row>
    <row r="24" spans="1:2" x14ac:dyDescent="0.35">
      <c r="A24" s="1">
        <v>86</v>
      </c>
      <c r="B24" s="1" cm="1">
        <f t="array" ref="B24">_xll.PriceButterfly(A24,'Fly Params'!$B$5,'Fly Params'!$B$6,'Fly Params'!$B$7,'Fly Params'!$B$8,'Fly Params'!$B$9,'Fly Params'!$B$10)</f>
        <v>0.7942621544213111</v>
      </c>
    </row>
    <row r="25" spans="1:2" x14ac:dyDescent="0.35">
      <c r="A25" s="1">
        <v>87</v>
      </c>
      <c r="B25" s="1" cm="1">
        <f t="array" ref="B25">_xll.PriceButterfly(A25,'Fly Params'!$B$5,'Fly Params'!$B$6,'Fly Params'!$B$7,'Fly Params'!$B$8,'Fly Params'!$B$9,'Fly Params'!$B$10)</f>
        <v>0.8696561546205146</v>
      </c>
    </row>
    <row r="26" spans="1:2" x14ac:dyDescent="0.35">
      <c r="A26" s="1">
        <v>88</v>
      </c>
      <c r="B26" s="1" cm="1">
        <f t="array" ref="B26">_xll.PriceButterfly(A26,'Fly Params'!$B$5,'Fly Params'!$B$6,'Fly Params'!$B$7,'Fly Params'!$B$8,'Fly Params'!$B$9,'Fly Params'!$B$10)</f>
        <v>0.94881954696997894</v>
      </c>
    </row>
    <row r="27" spans="1:2" x14ac:dyDescent="0.35">
      <c r="A27" s="1">
        <v>89</v>
      </c>
      <c r="B27" s="1" cm="1">
        <f t="array" ref="B27">_xll.PriceButterfly(A27,'Fly Params'!$B$5,'Fly Params'!$B$6,'Fly Params'!$B$7,'Fly Params'!$B$8,'Fly Params'!$B$9,'Fly Params'!$B$10)</f>
        <v>1.0257637257324177</v>
      </c>
    </row>
    <row r="28" spans="1:2" x14ac:dyDescent="0.35">
      <c r="A28" s="1">
        <v>90</v>
      </c>
      <c r="B28" s="1" cm="1">
        <f t="array" ref="B28">_xll.PriceButterfly(A28,'Fly Params'!$B$5,'Fly Params'!$B$6,'Fly Params'!$B$7,'Fly Params'!$B$8,'Fly Params'!$B$9,'Fly Params'!$B$10)</f>
        <v>1.1059680218304386</v>
      </c>
    </row>
    <row r="29" spans="1:2" x14ac:dyDescent="0.35">
      <c r="A29" s="1">
        <v>91</v>
      </c>
      <c r="B29" s="1" cm="1">
        <f t="array" ref="B29">_xll.PriceButterfly(A29,'Fly Params'!$B$5,'Fly Params'!$B$6,'Fly Params'!$B$7,'Fly Params'!$B$8,'Fly Params'!$B$9,'Fly Params'!$B$10)</f>
        <v>1.1876111685017818</v>
      </c>
    </row>
    <row r="30" spans="1:2" x14ac:dyDescent="0.35">
      <c r="A30" s="1">
        <v>92</v>
      </c>
      <c r="B30" s="1" cm="1">
        <f t="array" ref="B30">_xll.PriceButterfly(A30,'Fly Params'!$B$5,'Fly Params'!$B$6,'Fly Params'!$B$7,'Fly Params'!$B$8,'Fly Params'!$B$9,'Fly Params'!$B$10)</f>
        <v>1.2672404148710861</v>
      </c>
    </row>
    <row r="31" spans="1:2" x14ac:dyDescent="0.35">
      <c r="A31" s="1">
        <v>93</v>
      </c>
      <c r="B31" s="1" cm="1">
        <f t="array" ref="B31">_xll.PriceButterfly(A31,'Fly Params'!$B$5,'Fly Params'!$B$6,'Fly Params'!$B$7,'Fly Params'!$B$8,'Fly Params'!$B$9,'Fly Params'!$B$10)</f>
        <v>1.3466312891349901</v>
      </c>
    </row>
    <row r="32" spans="1:2" x14ac:dyDescent="0.35">
      <c r="A32" s="1">
        <v>94</v>
      </c>
      <c r="B32" s="1" cm="1">
        <f t="array" ref="B32">_xll.PriceButterfly(A32,'Fly Params'!$B$5,'Fly Params'!$B$6,'Fly Params'!$B$7,'Fly Params'!$B$8,'Fly Params'!$B$9,'Fly Params'!$B$10)</f>
        <v>1.4233522680496087</v>
      </c>
    </row>
    <row r="33" spans="1:2" x14ac:dyDescent="0.35">
      <c r="A33" s="1">
        <v>95</v>
      </c>
      <c r="B33" s="1" cm="1">
        <f t="array" ref="B33">_xll.PriceButterfly(A33,'Fly Params'!$B$5,'Fly Params'!$B$6,'Fly Params'!$B$7,'Fly Params'!$B$8,'Fly Params'!$B$9,'Fly Params'!$B$10)</f>
        <v>1.4974060105905203</v>
      </c>
    </row>
    <row r="34" spans="1:2" x14ac:dyDescent="0.35">
      <c r="A34" s="1">
        <v>96</v>
      </c>
      <c r="B34" s="1" cm="1">
        <f t="array" ref="B34">_xll.PriceButterfly(A34,'Fly Params'!$B$5,'Fly Params'!$B$6,'Fly Params'!$B$7,'Fly Params'!$B$8,'Fly Params'!$B$9,'Fly Params'!$B$10)</f>
        <v>1.5657448605290369</v>
      </c>
    </row>
    <row r="35" spans="1:2" x14ac:dyDescent="0.35">
      <c r="A35" s="1">
        <v>97</v>
      </c>
      <c r="B35" s="1" cm="1">
        <f t="array" ref="B35">_xll.PriceButterfly(A35,'Fly Params'!$B$5,'Fly Params'!$B$6,'Fly Params'!$B$7,'Fly Params'!$B$8,'Fly Params'!$B$9,'Fly Params'!$B$10)</f>
        <v>1.6337333794203239</v>
      </c>
    </row>
    <row r="36" spans="1:2" x14ac:dyDescent="0.35">
      <c r="A36" s="1">
        <v>98</v>
      </c>
      <c r="B36" s="1" cm="1">
        <f t="array" ref="B36">_xll.PriceButterfly(A36,'Fly Params'!$B$5,'Fly Params'!$B$6,'Fly Params'!$B$7,'Fly Params'!$B$8,'Fly Params'!$B$9,'Fly Params'!$B$10)</f>
        <v>1.6940851574876952</v>
      </c>
    </row>
    <row r="37" spans="1:2" x14ac:dyDescent="0.35">
      <c r="A37" s="1">
        <v>99</v>
      </c>
      <c r="B37" s="1" cm="1">
        <f t="array" ref="B37">_xll.PriceButterfly(A37,'Fly Params'!$B$5,'Fly Params'!$B$6,'Fly Params'!$B$7,'Fly Params'!$B$8,'Fly Params'!$B$9,'Fly Params'!$B$10)</f>
        <v>1.7485611302622033</v>
      </c>
    </row>
    <row r="38" spans="1:2" x14ac:dyDescent="0.35">
      <c r="A38" s="1">
        <v>100</v>
      </c>
      <c r="B38" s="1" cm="1">
        <f t="array" ref="B38">_xll.PriceButterfly(A38,'Fly Params'!$B$5,'Fly Params'!$B$6,'Fly Params'!$B$7,'Fly Params'!$B$8,'Fly Params'!$B$9,'Fly Params'!$B$10)</f>
        <v>1.7961272222374376</v>
      </c>
    </row>
    <row r="39" spans="1:2" x14ac:dyDescent="0.35">
      <c r="A39" s="1">
        <v>101</v>
      </c>
      <c r="B39" s="1" cm="1">
        <f t="array" ref="B39">_xll.PriceButterfly(A39,'Fly Params'!$B$5,'Fly Params'!$B$6,'Fly Params'!$B$7,'Fly Params'!$B$8,'Fly Params'!$B$9,'Fly Params'!$B$10)</f>
        <v>1.8337855636355691</v>
      </c>
    </row>
    <row r="40" spans="1:2" x14ac:dyDescent="0.35">
      <c r="A40" s="1">
        <v>102</v>
      </c>
      <c r="B40" s="1" cm="1">
        <f t="array" ref="B40">_xll.PriceButterfly(A40,'Fly Params'!$B$5,'Fly Params'!$B$6,'Fly Params'!$B$7,'Fly Params'!$B$8,'Fly Params'!$B$9,'Fly Params'!$B$10)</f>
        <v>1.8623606450437009</v>
      </c>
    </row>
    <row r="41" spans="1:2" x14ac:dyDescent="0.35">
      <c r="A41" s="1">
        <v>103</v>
      </c>
      <c r="B41" s="1" cm="1">
        <f t="array" ref="B41">_xll.PriceButterfly(A41,'Fly Params'!$B$5,'Fly Params'!$B$6,'Fly Params'!$B$7,'Fly Params'!$B$8,'Fly Params'!$B$9,'Fly Params'!$B$10)</f>
        <v>1.8896368477748275</v>
      </c>
    </row>
    <row r="42" spans="1:2" x14ac:dyDescent="0.35">
      <c r="A42" s="1">
        <v>104</v>
      </c>
      <c r="B42" s="1" cm="1">
        <f t="array" ref="B42">_xll.PriceButterfly(A42,'Fly Params'!$B$5,'Fly Params'!$B$6,'Fly Params'!$B$7,'Fly Params'!$B$8,'Fly Params'!$B$9,'Fly Params'!$B$10)</f>
        <v>1.9109108460443416</v>
      </c>
    </row>
    <row r="43" spans="1:2" x14ac:dyDescent="0.35">
      <c r="A43" s="1">
        <v>105</v>
      </c>
      <c r="B43" s="1" cm="1">
        <f t="array" ref="B43">_xll.PriceButterfly(A43,'Fly Params'!$B$5,'Fly Params'!$B$6,'Fly Params'!$B$7,'Fly Params'!$B$8,'Fly Params'!$B$9,'Fly Params'!$B$10)</f>
        <v>1.9273668560335011</v>
      </c>
    </row>
    <row r="44" spans="1:2" x14ac:dyDescent="0.35">
      <c r="A44" s="1">
        <v>106</v>
      </c>
      <c r="B44" s="1" cm="1">
        <f t="array" ref="B44">_xll.PriceButterfly(A44,'Fly Params'!$B$5,'Fly Params'!$B$6,'Fly Params'!$B$7,'Fly Params'!$B$8,'Fly Params'!$B$9,'Fly Params'!$B$10)</f>
        <v>1.9327622287392199</v>
      </c>
    </row>
    <row r="45" spans="1:2" x14ac:dyDescent="0.35">
      <c r="A45" s="1">
        <v>107</v>
      </c>
      <c r="B45" s="1" cm="1">
        <f t="array" ref="B45">_xll.PriceButterfly(A45,'Fly Params'!$B$5,'Fly Params'!$B$6,'Fly Params'!$B$7,'Fly Params'!$B$8,'Fly Params'!$B$9,'Fly Params'!$B$10)</f>
        <v>1.9237530862459042</v>
      </c>
    </row>
    <row r="46" spans="1:2" x14ac:dyDescent="0.35">
      <c r="A46" s="1">
        <v>108</v>
      </c>
      <c r="B46" s="1" cm="1">
        <f t="array" ref="B46">_xll.PriceButterfly(A46,'Fly Params'!$B$5,'Fly Params'!$B$6,'Fly Params'!$B$7,'Fly Params'!$B$8,'Fly Params'!$B$9,'Fly Params'!$B$10)</f>
        <v>1.9194977280920931</v>
      </c>
    </row>
    <row r="47" spans="1:2" x14ac:dyDescent="0.35">
      <c r="A47" s="1">
        <v>109</v>
      </c>
      <c r="B47" s="1" cm="1">
        <f t="array" ref="B47">_xll.PriceButterfly(A47,'Fly Params'!$B$5,'Fly Params'!$B$6,'Fly Params'!$B$7,'Fly Params'!$B$8,'Fly Params'!$B$9,'Fly Params'!$B$10)</f>
        <v>1.8875984162816088</v>
      </c>
    </row>
    <row r="48" spans="1:2" x14ac:dyDescent="0.35">
      <c r="A48" s="1">
        <v>110</v>
      </c>
      <c r="B48" s="1" cm="1">
        <f t="array" ref="B48">_xll.PriceButterfly(A48,'Fly Params'!$B$5,'Fly Params'!$B$6,'Fly Params'!$B$7,'Fly Params'!$B$8,'Fly Params'!$B$9,'Fly Params'!$B$10)</f>
        <v>1.8583570568708385</v>
      </c>
    </row>
    <row r="49" spans="1:2" x14ac:dyDescent="0.35">
      <c r="A49" s="1">
        <v>111</v>
      </c>
      <c r="B49" s="1" cm="1">
        <f t="array" ref="B49">_xll.PriceButterfly(A49,'Fly Params'!$B$5,'Fly Params'!$B$6,'Fly Params'!$B$7,'Fly Params'!$B$8,'Fly Params'!$B$9,'Fly Params'!$B$10)</f>
        <v>1.8209022236268915</v>
      </c>
    </row>
    <row r="50" spans="1:2" x14ac:dyDescent="0.35">
      <c r="A50" s="1">
        <v>112</v>
      </c>
      <c r="B50" s="1" cm="1">
        <f t="array" ref="B50">_xll.PriceButterfly(A50,'Fly Params'!$B$5,'Fly Params'!$B$6,'Fly Params'!$B$7,'Fly Params'!$B$8,'Fly Params'!$B$9,'Fly Params'!$B$10)</f>
        <v>1.7813826357425144</v>
      </c>
    </row>
    <row r="51" spans="1:2" x14ac:dyDescent="0.35">
      <c r="A51" s="1">
        <v>113</v>
      </c>
      <c r="B51" s="1" cm="1">
        <f t="array" ref="B51">_xll.PriceButterfly(A51,'Fly Params'!$B$5,'Fly Params'!$B$6,'Fly Params'!$B$7,'Fly Params'!$B$8,'Fly Params'!$B$9,'Fly Params'!$B$10)</f>
        <v>1.7262994092417063</v>
      </c>
    </row>
    <row r="52" spans="1:2" x14ac:dyDescent="0.35">
      <c r="A52" s="1">
        <v>114</v>
      </c>
      <c r="B52" s="1" cm="1">
        <f t="array" ref="B52">_xll.PriceButterfly(A52,'Fly Params'!$B$5,'Fly Params'!$B$6,'Fly Params'!$B$7,'Fly Params'!$B$8,'Fly Params'!$B$9,'Fly Params'!$B$10)</f>
        <v>1.6533599565203136</v>
      </c>
    </row>
    <row r="53" spans="1:2" x14ac:dyDescent="0.35">
      <c r="A53" s="1">
        <v>115</v>
      </c>
      <c r="B53" s="1" cm="1">
        <f t="array" ref="B53">_xll.PriceButterfly(A53,'Fly Params'!$B$5,'Fly Params'!$B$6,'Fly Params'!$B$7,'Fly Params'!$B$8,'Fly Params'!$B$9,'Fly Params'!$B$10)</f>
        <v>1.5769372685193614</v>
      </c>
    </row>
    <row r="54" spans="1:2" x14ac:dyDescent="0.35">
      <c r="A54" s="1">
        <v>116</v>
      </c>
      <c r="B54" s="1" cm="1">
        <f t="array" ref="B54">_xll.PriceButterfly(A54,'Fly Params'!$B$5,'Fly Params'!$B$6,'Fly Params'!$B$7,'Fly Params'!$B$8,'Fly Params'!$B$9,'Fly Params'!$B$10)</f>
        <v>1.4995369072041882</v>
      </c>
    </row>
    <row r="55" spans="1:2" x14ac:dyDescent="0.35">
      <c r="A55" s="1">
        <v>117</v>
      </c>
      <c r="B55" s="1" cm="1">
        <f t="array" ref="B55">_xll.PriceButterfly(A55,'Fly Params'!$B$5,'Fly Params'!$B$6,'Fly Params'!$B$7,'Fly Params'!$B$8,'Fly Params'!$B$9,'Fly Params'!$B$10)</f>
        <v>1.4255853549065023</v>
      </c>
    </row>
    <row r="56" spans="1:2" x14ac:dyDescent="0.35">
      <c r="A56" s="1">
        <v>118</v>
      </c>
      <c r="B56" s="1" cm="1">
        <f t="array" ref="B56">_xll.PriceButterfly(A56,'Fly Params'!$B$5,'Fly Params'!$B$6,'Fly Params'!$B$7,'Fly Params'!$B$8,'Fly Params'!$B$9,'Fly Params'!$B$10)</f>
        <v>1.3255171062113398</v>
      </c>
    </row>
    <row r="57" spans="1:2" x14ac:dyDescent="0.35">
      <c r="A57" s="1">
        <v>119</v>
      </c>
      <c r="B57" s="1" cm="1">
        <f t="array" ref="B57">_xll.PriceButterfly(A57,'Fly Params'!$B$5,'Fly Params'!$B$6,'Fly Params'!$B$7,'Fly Params'!$B$8,'Fly Params'!$B$9,'Fly Params'!$B$10)</f>
        <v>1.2283043623867513</v>
      </c>
    </row>
    <row r="58" spans="1:2" x14ac:dyDescent="0.35">
      <c r="A58" s="1">
        <v>120</v>
      </c>
      <c r="B58" s="1" cm="1">
        <f t="array" ref="B58">_xll.PriceButterfly(A58,'Fly Params'!$B$5,'Fly Params'!$B$6,'Fly Params'!$B$7,'Fly Params'!$B$8,'Fly Params'!$B$9,'Fly Params'!$B$10)</f>
        <v>1.1245993325806851</v>
      </c>
    </row>
    <row r="59" spans="1:2" x14ac:dyDescent="0.35">
      <c r="A59" s="1">
        <v>121</v>
      </c>
      <c r="B59" s="1" cm="1">
        <f t="array" ref="B59">_xll.PriceButterfly(A59,'Fly Params'!$B$5,'Fly Params'!$B$6,'Fly Params'!$B$7,'Fly Params'!$B$8,'Fly Params'!$B$9,'Fly Params'!$B$10)</f>
        <v>1.0178976499963861</v>
      </c>
    </row>
    <row r="60" spans="1:2" x14ac:dyDescent="0.35">
      <c r="A60" s="1">
        <v>122</v>
      </c>
      <c r="B60" s="1" cm="1">
        <f t="array" ref="B60">_xll.PriceButterfly(A60,'Fly Params'!$B$5,'Fly Params'!$B$6,'Fly Params'!$B$7,'Fly Params'!$B$8,'Fly Params'!$B$9,'Fly Params'!$B$10)</f>
        <v>0.9166362797813461</v>
      </c>
    </row>
    <row r="61" spans="1:2" x14ac:dyDescent="0.35">
      <c r="A61" s="1">
        <v>123</v>
      </c>
      <c r="B61" s="1" cm="1">
        <f t="array" ref="B61">_xll.PriceButterfly(A61,'Fly Params'!$B$5,'Fly Params'!$B$6,'Fly Params'!$B$7,'Fly Params'!$B$8,'Fly Params'!$B$9,'Fly Params'!$B$10)</f>
        <v>0.81117603483658973</v>
      </c>
    </row>
    <row r="62" spans="1:2" x14ac:dyDescent="0.35">
      <c r="A62" s="1">
        <v>124</v>
      </c>
      <c r="B62" s="1" cm="1">
        <f t="array" ref="B62">_xll.PriceButterfly(A62,'Fly Params'!$B$5,'Fly Params'!$B$6,'Fly Params'!$B$7,'Fly Params'!$B$8,'Fly Params'!$B$9,'Fly Params'!$B$10)</f>
        <v>0.7060296572332434</v>
      </c>
    </row>
    <row r="63" spans="1:2" x14ac:dyDescent="0.35">
      <c r="A63" s="1">
        <v>125</v>
      </c>
      <c r="B63" s="1" cm="1">
        <f t="array" ref="B63">_xll.PriceButterfly(A63,'Fly Params'!$B$5,'Fly Params'!$B$6,'Fly Params'!$B$7,'Fly Params'!$B$8,'Fly Params'!$B$9,'Fly Params'!$B$10)</f>
        <v>0.61224827405471438</v>
      </c>
    </row>
    <row r="64" spans="1:2" x14ac:dyDescent="0.35">
      <c r="A64" s="1">
        <v>126</v>
      </c>
      <c r="B64" s="1" cm="1">
        <f t="array" ref="B64">_xll.PriceButterfly(A64,'Fly Params'!$B$5,'Fly Params'!$B$6,'Fly Params'!$B$7,'Fly Params'!$B$8,'Fly Params'!$B$9,'Fly Params'!$B$10)</f>
        <v>0.49413608286002786</v>
      </c>
    </row>
    <row r="65" spans="1:2" x14ac:dyDescent="0.35">
      <c r="A65" s="1">
        <v>127</v>
      </c>
      <c r="B65" s="1" cm="1">
        <f t="array" ref="B65">_xll.PriceButterfly(A65,'Fly Params'!$B$5,'Fly Params'!$B$6,'Fly Params'!$B$7,'Fly Params'!$B$8,'Fly Params'!$B$9,'Fly Params'!$B$10)</f>
        <v>0.35574065961323886</v>
      </c>
    </row>
    <row r="66" spans="1:2" x14ac:dyDescent="0.35">
      <c r="A66" s="1">
        <v>128</v>
      </c>
      <c r="B66" s="1" cm="1">
        <f t="array" ref="B66">_xll.PriceButterfly(A66,'Fly Params'!$B$5,'Fly Params'!$B$6,'Fly Params'!$B$7,'Fly Params'!$B$8,'Fly Params'!$B$9,'Fly Params'!$B$10)</f>
        <v>0.23850126552222406</v>
      </c>
    </row>
    <row r="67" spans="1:2" x14ac:dyDescent="0.35">
      <c r="A67" s="1">
        <v>129</v>
      </c>
      <c r="B67" s="1" cm="1">
        <f t="array" ref="B67">_xll.PriceButterfly(A67,'Fly Params'!$B$5,'Fly Params'!$B$6,'Fly Params'!$B$7,'Fly Params'!$B$8,'Fly Params'!$B$9,'Fly Params'!$B$10)</f>
        <v>0.11931414396467954</v>
      </c>
    </row>
    <row r="68" spans="1:2" x14ac:dyDescent="0.35">
      <c r="A68" s="1">
        <v>130</v>
      </c>
      <c r="B68" s="1" cm="1">
        <f t="array" ref="B68">_xll.PriceButterfly(A68,'Fly Params'!$B$5,'Fly Params'!$B$6,'Fly Params'!$B$7,'Fly Params'!$B$8,'Fly Params'!$B$9,'Fly Params'!$B$10)</f>
        <v>0</v>
      </c>
    </row>
    <row r="69" spans="1:2" x14ac:dyDescent="0.35">
      <c r="A69" s="1">
        <v>131</v>
      </c>
      <c r="B69" s="1" cm="1">
        <f t="array" ref="B69">_xll.PriceButterfly(A69,'Fly Params'!$B$5,'Fly Params'!$B$6,'Fly Params'!$B$7,'Fly Params'!$B$8,'Fly Params'!$B$9,'Fly Params'!$B$10)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7E7C5-C8D0-40DF-827C-170D9DBD9BDD}">
  <dimension ref="A1:B42"/>
  <sheetViews>
    <sheetView workbookViewId="0">
      <selection activeCell="G20" sqref="G20"/>
    </sheetView>
  </sheetViews>
  <sheetFormatPr defaultRowHeight="14.5" x14ac:dyDescent="0.35"/>
  <cols>
    <col min="1" max="1" width="8.7265625" style="1"/>
    <col min="2" max="2" width="11.81640625" style="1" bestFit="1" customWidth="1"/>
    <col min="3" max="16384" width="8.7265625" style="1"/>
  </cols>
  <sheetData>
    <row r="1" spans="1:2" x14ac:dyDescent="0.35">
      <c r="A1" s="1" t="s">
        <v>6</v>
      </c>
      <c r="B1" s="1" t="s">
        <v>8</v>
      </c>
    </row>
    <row r="2" spans="1:2" x14ac:dyDescent="0.35">
      <c r="A2" s="1">
        <v>90</v>
      </c>
      <c r="B2" s="1" cm="1">
        <f t="array" ref="B2">_xll.PriceButterfly('Fly Params'!$B$4, 'Fly Params'!$B$5, A2, 'Fly Params'!$B$7, 'Fly Params'!$B$8, 'Fly Params'!$B$9, 'Fly Params'!$B$10)</f>
        <v>0</v>
      </c>
    </row>
    <row r="3" spans="1:2" x14ac:dyDescent="0.35">
      <c r="A3" s="1">
        <v>91</v>
      </c>
      <c r="B3" s="1" cm="1">
        <f t="array" ref="B3">_xll.PriceButterfly('Fly Params'!$B$4, 'Fly Params'!$B$5, A3, 'Fly Params'!$B$7, 'Fly Params'!$B$8, 'Fly Params'!$B$9, 'Fly Params'!$B$10)</f>
        <v>0</v>
      </c>
    </row>
    <row r="4" spans="1:2" x14ac:dyDescent="0.35">
      <c r="A4" s="1">
        <v>92</v>
      </c>
      <c r="B4" s="1" cm="1">
        <f t="array" ref="B4">_xll.PriceButterfly('Fly Params'!$B$4, 'Fly Params'!$B$5, A4, 'Fly Params'!$B$7, 'Fly Params'!$B$8, 'Fly Params'!$B$9, 'Fly Params'!$B$10)</f>
        <v>0</v>
      </c>
    </row>
    <row r="5" spans="1:2" x14ac:dyDescent="0.35">
      <c r="A5" s="1">
        <v>93</v>
      </c>
      <c r="B5" s="1" cm="1">
        <f t="array" ref="B5">_xll.PriceButterfly('Fly Params'!$B$4, 'Fly Params'!$B$5, A5, 'Fly Params'!$B$7, 'Fly Params'!$B$8, 'Fly Params'!$B$9, 'Fly Params'!$B$10)</f>
        <v>0</v>
      </c>
    </row>
    <row r="6" spans="1:2" x14ac:dyDescent="0.35">
      <c r="A6" s="1">
        <v>94</v>
      </c>
      <c r="B6" s="1" cm="1">
        <f t="array" ref="B6">_xll.PriceButterfly('Fly Params'!$B$4, 'Fly Params'!$B$5, A6, 'Fly Params'!$B$7, 'Fly Params'!$B$8, 'Fly Params'!$B$9, 'Fly Params'!$B$10)</f>
        <v>0</v>
      </c>
    </row>
    <row r="7" spans="1:2" x14ac:dyDescent="0.35">
      <c r="A7" s="1">
        <v>95</v>
      </c>
      <c r="B7" s="1" cm="1">
        <f t="array" ref="B7">_xll.PriceButterfly('Fly Params'!$B$4, 'Fly Params'!$B$5, A7, 'Fly Params'!$B$7, 'Fly Params'!$B$8, 'Fly Params'!$B$9, 'Fly Params'!$B$10)</f>
        <v>0</v>
      </c>
    </row>
    <row r="8" spans="1:2" x14ac:dyDescent="0.35">
      <c r="A8" s="1">
        <v>96</v>
      </c>
      <c r="B8" s="1" cm="1">
        <f t="array" ref="B8">_xll.PriceButterfly('Fly Params'!$B$4, 'Fly Params'!$B$5, A8, 'Fly Params'!$B$7, 'Fly Params'!$B$8, 'Fly Params'!$B$9, 'Fly Params'!$B$10)</f>
        <v>0</v>
      </c>
    </row>
    <row r="9" spans="1:2" x14ac:dyDescent="0.35">
      <c r="A9" s="1">
        <v>97</v>
      </c>
      <c r="B9" s="1" cm="1">
        <f t="array" ref="B9">_xll.PriceButterfly('Fly Params'!$B$4, 'Fly Params'!$B$5, A9, 'Fly Params'!$B$7, 'Fly Params'!$B$8, 'Fly Params'!$B$9, 'Fly Params'!$B$10)</f>
        <v>0</v>
      </c>
    </row>
    <row r="10" spans="1:2" x14ac:dyDescent="0.35">
      <c r="A10" s="1">
        <v>98</v>
      </c>
      <c r="B10" s="1" cm="1">
        <f t="array" ref="B10">_xll.PriceButterfly('Fly Params'!$B$4, 'Fly Params'!$B$5, A10, 'Fly Params'!$B$7, 'Fly Params'!$B$8, 'Fly Params'!$B$9, 'Fly Params'!$B$10)</f>
        <v>0</v>
      </c>
    </row>
    <row r="11" spans="1:2" x14ac:dyDescent="0.35">
      <c r="A11" s="1">
        <v>99</v>
      </c>
      <c r="B11" s="1" cm="1">
        <f t="array" ref="B11">_xll.PriceButterfly('Fly Params'!$B$4, 'Fly Params'!$B$5, A11, 'Fly Params'!$B$7, 'Fly Params'!$B$8, 'Fly Params'!$B$9, 'Fly Params'!$B$10)</f>
        <v>0</v>
      </c>
    </row>
    <row r="12" spans="1:2" x14ac:dyDescent="0.35">
      <c r="A12" s="1">
        <v>100</v>
      </c>
      <c r="B12" s="1" cm="1">
        <f t="array" ref="B12">_xll.PriceButterfly('Fly Params'!$B$4, 'Fly Params'!$B$5, A12, 'Fly Params'!$B$7, 'Fly Params'!$B$8, 'Fly Params'!$B$9, 'Fly Params'!$B$10)</f>
        <v>0</v>
      </c>
    </row>
    <row r="13" spans="1:2" x14ac:dyDescent="0.35">
      <c r="A13" s="1">
        <v>101</v>
      </c>
      <c r="B13" s="1" cm="1">
        <f t="array" ref="B13">_xll.PriceButterfly('Fly Params'!$B$4, 'Fly Params'!$B$5, A13, 'Fly Params'!$B$7, 'Fly Params'!$B$8, 'Fly Params'!$B$9, 'Fly Params'!$B$10)</f>
        <v>0</v>
      </c>
    </row>
    <row r="14" spans="1:2" x14ac:dyDescent="0.35">
      <c r="A14" s="1">
        <v>102</v>
      </c>
      <c r="B14" s="1" cm="1">
        <f t="array" ref="B14">_xll.PriceButterfly('Fly Params'!$B$4, 'Fly Params'!$B$5, A14, 'Fly Params'!$B$7, 'Fly Params'!$B$8, 'Fly Params'!$B$9, 'Fly Params'!$B$10)</f>
        <v>0</v>
      </c>
    </row>
    <row r="15" spans="1:2" x14ac:dyDescent="0.35">
      <c r="A15" s="1">
        <v>103</v>
      </c>
      <c r="B15" s="1" cm="1">
        <f t="array" ref="B15">_xll.PriceButterfly('Fly Params'!$B$4, 'Fly Params'!$B$5, A15, 'Fly Params'!$B$7, 'Fly Params'!$B$8, 'Fly Params'!$B$9, 'Fly Params'!$B$10)</f>
        <v>0</v>
      </c>
    </row>
    <row r="16" spans="1:2" x14ac:dyDescent="0.35">
      <c r="A16" s="1">
        <v>104</v>
      </c>
      <c r="B16" s="1" cm="1">
        <f t="array" ref="B16">_xll.PriceButterfly('Fly Params'!$B$4, 'Fly Params'!$B$5, A16, 'Fly Params'!$B$7, 'Fly Params'!$B$8, 'Fly Params'!$B$9, 'Fly Params'!$B$10)</f>
        <v>0</v>
      </c>
    </row>
    <row r="17" spans="1:2" x14ac:dyDescent="0.35">
      <c r="A17" s="1">
        <v>105</v>
      </c>
      <c r="B17" s="1" cm="1">
        <f t="array" ref="B17">_xll.PriceButterfly('Fly Params'!$B$4, 'Fly Params'!$B$5, A17, 'Fly Params'!$B$7, 'Fly Params'!$B$8, 'Fly Params'!$B$9, 'Fly Params'!$B$10)</f>
        <v>0</v>
      </c>
    </row>
    <row r="18" spans="1:2" x14ac:dyDescent="0.35">
      <c r="A18" s="1">
        <v>106</v>
      </c>
      <c r="B18" s="1" cm="1">
        <f t="array" ref="B18">_xll.PriceButterfly('Fly Params'!$B$4, 'Fly Params'!$B$5, A18, 'Fly Params'!$B$7, 'Fly Params'!$B$8, 'Fly Params'!$B$9, 'Fly Params'!$B$10)</f>
        <v>0</v>
      </c>
    </row>
    <row r="19" spans="1:2" x14ac:dyDescent="0.35">
      <c r="A19" s="1">
        <v>107</v>
      </c>
      <c r="B19" s="1" cm="1">
        <f t="array" ref="B19">_xll.PriceButterfly('Fly Params'!$B$4, 'Fly Params'!$B$5, A19, 'Fly Params'!$B$7, 'Fly Params'!$B$8, 'Fly Params'!$B$9, 'Fly Params'!$B$10)</f>
        <v>0</v>
      </c>
    </row>
    <row r="20" spans="1:2" x14ac:dyDescent="0.35">
      <c r="A20" s="1">
        <v>108</v>
      </c>
      <c r="B20" s="1" cm="1">
        <f t="array" ref="B20">_xll.PriceButterfly('Fly Params'!$B$4, 'Fly Params'!$B$5, A20, 'Fly Params'!$B$7, 'Fly Params'!$B$8, 'Fly Params'!$B$9, 'Fly Params'!$B$10)</f>
        <v>0</v>
      </c>
    </row>
    <row r="21" spans="1:2" x14ac:dyDescent="0.35">
      <c r="A21" s="1">
        <v>109</v>
      </c>
      <c r="B21" s="1" cm="1">
        <f t="array" ref="B21">_xll.PriceButterfly('Fly Params'!$B$4, 'Fly Params'!$B$5, A21, 'Fly Params'!$B$7, 'Fly Params'!$B$8, 'Fly Params'!$B$9, 'Fly Params'!$B$10)</f>
        <v>0</v>
      </c>
    </row>
    <row r="22" spans="1:2" x14ac:dyDescent="0.35">
      <c r="A22" s="1">
        <v>110</v>
      </c>
      <c r="B22" s="1" cm="1">
        <f t="array" ref="B22">_xll.PriceButterfly('Fly Params'!$B$4, 'Fly Params'!$B$5, A22, 'Fly Params'!$B$7, 'Fly Params'!$B$8, 'Fly Params'!$B$9, 'Fly Params'!$B$10)</f>
        <v>0</v>
      </c>
    </row>
    <row r="23" spans="1:2" x14ac:dyDescent="0.35">
      <c r="A23" s="1">
        <v>111</v>
      </c>
      <c r="B23" s="1" cm="1">
        <f t="array" ref="B23">_xll.PriceButterfly('Fly Params'!$B$4, 'Fly Params'!$B$5, A23, 'Fly Params'!$B$7, 'Fly Params'!$B$8, 'Fly Params'!$B$9, 'Fly Params'!$B$10)</f>
        <v>2.7962691171640186E-2</v>
      </c>
    </row>
    <row r="24" spans="1:2" x14ac:dyDescent="0.35">
      <c r="A24" s="1">
        <v>112</v>
      </c>
      <c r="B24" s="1" cm="1">
        <f t="array" ref="B24">_xll.PriceButterfly('Fly Params'!$B$4, 'Fly Params'!$B$5, A24, 'Fly Params'!$B$7, 'Fly Params'!$B$8, 'Fly Params'!$B$9, 'Fly Params'!$B$10)</f>
        <v>6.7777492243128901E-2</v>
      </c>
    </row>
    <row r="25" spans="1:2" x14ac:dyDescent="0.35">
      <c r="A25" s="1">
        <v>113</v>
      </c>
      <c r="B25" s="1" cm="1">
        <f t="array" ref="B25">_xll.PriceButterfly('Fly Params'!$B$4, 'Fly Params'!$B$5, A25, 'Fly Params'!$B$7, 'Fly Params'!$B$8, 'Fly Params'!$B$9, 'Fly Params'!$B$10)</f>
        <v>0.14543881139606851</v>
      </c>
    </row>
    <row r="26" spans="1:2" x14ac:dyDescent="0.35">
      <c r="A26" s="1">
        <v>114</v>
      </c>
      <c r="B26" s="1" cm="1">
        <f t="array" ref="B26">_xll.PriceButterfly('Fly Params'!$B$4, 'Fly Params'!$B$5, A26, 'Fly Params'!$B$7, 'Fly Params'!$B$8, 'Fly Params'!$B$9, 'Fly Params'!$B$10)</f>
        <v>0.23904628048718468</v>
      </c>
    </row>
    <row r="27" spans="1:2" x14ac:dyDescent="0.35">
      <c r="A27" s="1">
        <v>115</v>
      </c>
      <c r="B27" s="1" cm="1">
        <f t="array" ref="B27">_xll.PriceButterfly('Fly Params'!$B$4, 'Fly Params'!$B$5, A27, 'Fly Params'!$B$7, 'Fly Params'!$B$8, 'Fly Params'!$B$9, 'Fly Params'!$B$10)</f>
        <v>0.30659956296545854</v>
      </c>
    </row>
    <row r="28" spans="1:2" x14ac:dyDescent="0.35">
      <c r="A28" s="1">
        <v>116</v>
      </c>
      <c r="B28" s="1" cm="1">
        <f t="array" ref="B28">_xll.PriceButterfly('Fly Params'!$B$4, 'Fly Params'!$B$5, A28, 'Fly Params'!$B$7, 'Fly Params'!$B$8, 'Fly Params'!$B$9, 'Fly Params'!$B$10)</f>
        <v>0.40888188953313342</v>
      </c>
    </row>
    <row r="29" spans="1:2" x14ac:dyDescent="0.35">
      <c r="A29" s="1">
        <v>117</v>
      </c>
      <c r="B29" s="1" cm="1">
        <f t="array" ref="B29">_xll.PriceButterfly('Fly Params'!$B$4, 'Fly Params'!$B$5, A29, 'Fly Params'!$B$7, 'Fly Params'!$B$8, 'Fly Params'!$B$9, 'Fly Params'!$B$10)</f>
        <v>0.52739383298460396</v>
      </c>
    </row>
    <row r="30" spans="1:2" x14ac:dyDescent="0.35">
      <c r="A30" s="1">
        <v>118</v>
      </c>
      <c r="B30" s="1" cm="1">
        <f t="array" ref="B30">_xll.PriceButterfly('Fly Params'!$B$4, 'Fly Params'!$B$5, A30, 'Fly Params'!$B$7, 'Fly Params'!$B$8, 'Fly Params'!$B$9, 'Fly Params'!$B$10)</f>
        <v>0.64381212836634294</v>
      </c>
    </row>
    <row r="31" spans="1:2" x14ac:dyDescent="0.35">
      <c r="A31" s="1">
        <v>119</v>
      </c>
      <c r="B31" s="1" cm="1">
        <f t="array" ref="B31">_xll.PriceButterfly('Fly Params'!$B$4, 'Fly Params'!$B$5, A31, 'Fly Params'!$B$7, 'Fly Params'!$B$8, 'Fly Params'!$B$9, 'Fly Params'!$B$10)</f>
        <v>0.77595610507325929</v>
      </c>
    </row>
    <row r="32" spans="1:2" x14ac:dyDescent="0.35">
      <c r="A32" s="1">
        <v>120</v>
      </c>
      <c r="B32" s="1" cm="1">
        <f t="array" ref="B32">_xll.PriceButterfly('Fly Params'!$B$4, 'Fly Params'!$B$5, A32, 'Fly Params'!$B$7, 'Fly Params'!$B$8, 'Fly Params'!$B$9, 'Fly Params'!$B$10)</f>
        <v>0.91102014561373323</v>
      </c>
    </row>
    <row r="33" spans="1:2" x14ac:dyDescent="0.35">
      <c r="A33" s="1">
        <v>121</v>
      </c>
      <c r="B33" s="1" cm="1">
        <f t="array" ref="B33">_xll.PriceButterfly('Fly Params'!$B$4, 'Fly Params'!$B$5, A33, 'Fly Params'!$B$7, 'Fly Params'!$B$8, 'Fly Params'!$B$9, 'Fly Params'!$B$10)</f>
        <v>1.0374245671186078</v>
      </c>
    </row>
    <row r="34" spans="1:2" x14ac:dyDescent="0.35">
      <c r="A34" s="1">
        <v>122</v>
      </c>
      <c r="B34" s="1" cm="1">
        <f t="array" ref="B34">_xll.PriceButterfly('Fly Params'!$B$4, 'Fly Params'!$B$5, A34, 'Fly Params'!$B$7, 'Fly Params'!$B$8, 'Fly Params'!$B$9, 'Fly Params'!$B$10)</f>
        <v>1.1719679818243085</v>
      </c>
    </row>
    <row r="35" spans="1:2" x14ac:dyDescent="0.35">
      <c r="A35" s="1">
        <v>123</v>
      </c>
      <c r="B35" s="1" cm="1">
        <f t="array" ref="B35">_xll.PriceButterfly('Fly Params'!$B$4, 'Fly Params'!$B$5, A35, 'Fly Params'!$B$7, 'Fly Params'!$B$8, 'Fly Params'!$B$9, 'Fly Params'!$B$10)</f>
        <v>1.2804156906125748</v>
      </c>
    </row>
    <row r="36" spans="1:2" x14ac:dyDescent="0.35">
      <c r="A36" s="1">
        <v>124</v>
      </c>
      <c r="B36" s="1" cm="1">
        <f t="array" ref="B36">_xll.PriceButterfly('Fly Params'!$B$4, 'Fly Params'!$B$5, A36, 'Fly Params'!$B$7, 'Fly Params'!$B$8, 'Fly Params'!$B$9, 'Fly Params'!$B$10)</f>
        <v>1.3854052142857753</v>
      </c>
    </row>
    <row r="37" spans="1:2" x14ac:dyDescent="0.35">
      <c r="A37" s="1">
        <v>125</v>
      </c>
      <c r="B37" s="1" cm="1">
        <f t="array" ref="B37">_xll.PriceButterfly('Fly Params'!$B$4, 'Fly Params'!$B$5, A37, 'Fly Params'!$B$7, 'Fly Params'!$B$8, 'Fly Params'!$B$9, 'Fly Params'!$B$10)</f>
        <v>1.4883406698727892</v>
      </c>
    </row>
    <row r="38" spans="1:2" x14ac:dyDescent="0.35">
      <c r="A38" s="1">
        <v>126</v>
      </c>
      <c r="B38" s="1" cm="1">
        <f t="array" ref="B38">_xll.PriceButterfly('Fly Params'!$B$4, 'Fly Params'!$B$5, A38, 'Fly Params'!$B$7, 'Fly Params'!$B$8, 'Fly Params'!$B$9, 'Fly Params'!$B$10)</f>
        <v>1.5903674327693906</v>
      </c>
    </row>
    <row r="39" spans="1:2" x14ac:dyDescent="0.35">
      <c r="A39" s="1">
        <v>127</v>
      </c>
      <c r="B39" s="1" cm="1">
        <f t="array" ref="B39">_xll.PriceButterfly('Fly Params'!$B$4, 'Fly Params'!$B$5, A39, 'Fly Params'!$B$7, 'Fly Params'!$B$8, 'Fly Params'!$B$9, 'Fly Params'!$B$10)</f>
        <v>1.6789952010944873</v>
      </c>
    </row>
    <row r="40" spans="1:2" x14ac:dyDescent="0.35">
      <c r="A40" s="1">
        <v>128</v>
      </c>
      <c r="B40" s="1" cm="1">
        <f t="array" ref="B40">_xll.PriceButterfly('Fly Params'!$B$4, 'Fly Params'!$B$5, A40, 'Fly Params'!$B$7, 'Fly Params'!$B$8, 'Fly Params'!$B$9, 'Fly Params'!$B$10)</f>
        <v>1.7462334310187764</v>
      </c>
    </row>
    <row r="41" spans="1:2" x14ac:dyDescent="0.35">
      <c r="A41" s="1">
        <v>129</v>
      </c>
      <c r="B41" s="1" cm="1">
        <f t="array" ref="B41">_xll.PriceButterfly('Fly Params'!$B$4, 'Fly Params'!$B$5, A41, 'Fly Params'!$B$7, 'Fly Params'!$B$8, 'Fly Params'!$B$9, 'Fly Params'!$B$10)</f>
        <v>1.8043124292199</v>
      </c>
    </row>
    <row r="42" spans="1:2" x14ac:dyDescent="0.35">
      <c r="A42" s="1">
        <v>130</v>
      </c>
      <c r="B42" s="1" cm="1">
        <f t="array" ref="B42">_xll.PriceButterfly('Fly Params'!$B$4, 'Fly Params'!$B$5, A42, 'Fly Params'!$B$7, 'Fly Params'!$B$8, 'Fly Params'!$B$9, 'Fly Params'!$B$10)</f>
        <v>1.8583570568708385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FB541-56B1-4083-A362-C83E2B9CA6C5}">
  <dimension ref="A1:B42"/>
  <sheetViews>
    <sheetView workbookViewId="0">
      <selection activeCell="E39" sqref="E39"/>
    </sheetView>
  </sheetViews>
  <sheetFormatPr defaultRowHeight="14.5" x14ac:dyDescent="0.35"/>
  <cols>
    <col min="1" max="16384" width="8.7265625" style="1"/>
  </cols>
  <sheetData>
    <row r="1" spans="1:2" x14ac:dyDescent="0.35">
      <c r="A1" s="1" t="s">
        <v>7</v>
      </c>
      <c r="B1" s="1" t="s">
        <v>8</v>
      </c>
    </row>
    <row r="2" spans="1:2" x14ac:dyDescent="0.35">
      <c r="A2" s="1">
        <v>0.1</v>
      </c>
      <c r="B2" s="14" cm="1">
        <f t="array" ref="B2">_xll.PriceButterfly('Fly Params'!$B$4,A2,'Fly Params'!$B$6,'Fly Params'!$B$7,'Fly Params'!$B$8,'Fly Params'!$B$9,'Fly Params'!$B$10)</f>
        <v>4.2445489795389708</v>
      </c>
    </row>
    <row r="3" spans="1:2" x14ac:dyDescent="0.35">
      <c r="A3" s="1">
        <v>0.11</v>
      </c>
      <c r="B3" s="14" cm="1">
        <f t="array" ref="B3">_xll.PriceButterfly('Fly Params'!$B$4,A3,'Fly Params'!$B$6,'Fly Params'!$B$7,'Fly Params'!$B$8,'Fly Params'!$B$9,'Fly Params'!$B$10)</f>
        <v>3.9688435128858908</v>
      </c>
    </row>
    <row r="4" spans="1:2" x14ac:dyDescent="0.35">
      <c r="A4" s="1">
        <v>0.12</v>
      </c>
      <c r="B4" s="14" cm="1">
        <f t="array" ref="B4">_xll.PriceButterfly('Fly Params'!$B$4,A4,'Fly Params'!$B$6,'Fly Params'!$B$7,'Fly Params'!$B$8,'Fly Params'!$B$9,'Fly Params'!$B$10)</f>
        <v>3.7192454920194908</v>
      </c>
    </row>
    <row r="5" spans="1:2" x14ac:dyDescent="0.35">
      <c r="A5" s="1">
        <v>0.13</v>
      </c>
      <c r="B5" s="14" cm="1">
        <f t="array" ref="B5">_xll.PriceButterfly('Fly Params'!$B$4,A5,'Fly Params'!$B$6,'Fly Params'!$B$7,'Fly Params'!$B$8,'Fly Params'!$B$9,'Fly Params'!$B$10)</f>
        <v>3.4912475960139853</v>
      </c>
    </row>
    <row r="6" spans="1:2" x14ac:dyDescent="0.35">
      <c r="A6" s="1">
        <v>0.14000000000000001</v>
      </c>
      <c r="B6" s="14" cm="1">
        <f t="array" ref="B6">_xll.PriceButterfly('Fly Params'!$B$4,A6,'Fly Params'!$B$6,'Fly Params'!$B$7,'Fly Params'!$B$8,'Fly Params'!$B$9,'Fly Params'!$B$10)</f>
        <v>3.2802441249134953</v>
      </c>
    </row>
    <row r="7" spans="1:2" x14ac:dyDescent="0.35">
      <c r="A7" s="1">
        <v>0.15</v>
      </c>
      <c r="B7" s="14" cm="1">
        <f t="array" ref="B7">_xll.PriceButterfly('Fly Params'!$B$4,A7,'Fly Params'!$B$6,'Fly Params'!$B$7,'Fly Params'!$B$8,'Fly Params'!$B$9,'Fly Params'!$B$10)</f>
        <v>3.0833213713433389</v>
      </c>
    </row>
    <row r="8" spans="1:2" x14ac:dyDescent="0.35">
      <c r="A8" s="1">
        <v>0.16</v>
      </c>
      <c r="B8" s="14" cm="1">
        <f t="array" ref="B8">_xll.PriceButterfly('Fly Params'!$B$4,A8,'Fly Params'!$B$6,'Fly Params'!$B$7,'Fly Params'!$B$8,'Fly Params'!$B$9,'Fly Params'!$B$10)</f>
        <v>2.8982338587863437</v>
      </c>
    </row>
    <row r="9" spans="1:2" x14ac:dyDescent="0.35">
      <c r="A9" s="1">
        <v>0.17</v>
      </c>
      <c r="B9" s="14" cm="1">
        <f t="array" ref="B9">_xll.PriceButterfly('Fly Params'!$B$4,A9,'Fly Params'!$B$6,'Fly Params'!$B$7,'Fly Params'!$B$8,'Fly Params'!$B$9,'Fly Params'!$B$10)</f>
        <v>2.7241566692795551</v>
      </c>
    </row>
    <row r="10" spans="1:2" x14ac:dyDescent="0.35">
      <c r="A10" s="1">
        <v>0.18</v>
      </c>
      <c r="B10" s="14" cm="1">
        <f t="array" ref="B10">_xll.PriceButterfly('Fly Params'!$B$4,A10,'Fly Params'!$B$6,'Fly Params'!$B$7,'Fly Params'!$B$8,'Fly Params'!$B$9,'Fly Params'!$B$10)</f>
        <v>2.5636423386376928</v>
      </c>
    </row>
    <row r="11" spans="1:2" x14ac:dyDescent="0.35">
      <c r="A11" s="1">
        <v>0.19</v>
      </c>
      <c r="B11" s="14" cm="1">
        <f t="array" ref="B11">_xll.PriceButterfly('Fly Params'!$B$4,A11,'Fly Params'!$B$6,'Fly Params'!$B$7,'Fly Params'!$B$8,'Fly Params'!$B$9,'Fly Params'!$B$10)</f>
        <v>2.4050048511597044</v>
      </c>
    </row>
    <row r="12" spans="1:2" x14ac:dyDescent="0.35">
      <c r="A12" s="1">
        <v>0.2</v>
      </c>
      <c r="B12" s="14" cm="1">
        <f t="array" ref="B12">_xll.PriceButterfly('Fly Params'!$B$4,A12,'Fly Params'!$B$6,'Fly Params'!$B$7,'Fly Params'!$B$8,'Fly Params'!$B$9,'Fly Params'!$B$10)</f>
        <v>2.2605169715067799</v>
      </c>
    </row>
    <row r="13" spans="1:2" x14ac:dyDescent="0.35">
      <c r="A13" s="1">
        <v>0.21</v>
      </c>
      <c r="B13" s="14" cm="1">
        <f t="array" ref="B13">_xll.PriceButterfly('Fly Params'!$B$4,A13,'Fly Params'!$B$6,'Fly Params'!$B$7,'Fly Params'!$B$8,'Fly Params'!$B$9,'Fly Params'!$B$10)</f>
        <v>2.1218130343404926</v>
      </c>
    </row>
    <row r="14" spans="1:2" x14ac:dyDescent="0.35">
      <c r="A14" s="1">
        <v>0.22</v>
      </c>
      <c r="B14" s="14" cm="1">
        <f t="array" ref="B14">_xll.PriceButterfly('Fly Params'!$B$4,A14,'Fly Params'!$B$6,'Fly Params'!$B$7,'Fly Params'!$B$8,'Fly Params'!$B$9,'Fly Params'!$B$10)</f>
        <v>1.9806582646617201</v>
      </c>
    </row>
    <row r="15" spans="1:2" x14ac:dyDescent="0.35">
      <c r="A15" s="1">
        <v>0.23</v>
      </c>
      <c r="B15" s="14" cm="1">
        <f t="array" ref="B15">_xll.PriceButterfly('Fly Params'!$B$4,A15,'Fly Params'!$B$6,'Fly Params'!$B$7,'Fly Params'!$B$8,'Fly Params'!$B$9,'Fly Params'!$B$10)</f>
        <v>1.8583570568708385</v>
      </c>
    </row>
    <row r="16" spans="1:2" x14ac:dyDescent="0.35">
      <c r="A16" s="1">
        <v>0.24</v>
      </c>
      <c r="B16" s="14" cm="1">
        <f t="array" ref="B16">_xll.PriceButterfly('Fly Params'!$B$4,A16,'Fly Params'!$B$6,'Fly Params'!$B$7,'Fly Params'!$B$8,'Fly Params'!$B$9,'Fly Params'!$B$10)</f>
        <v>1.7423928408351603</v>
      </c>
    </row>
    <row r="17" spans="1:2" x14ac:dyDescent="0.35">
      <c r="A17" s="1">
        <v>0.25</v>
      </c>
      <c r="B17" s="14" cm="1">
        <f t="array" ref="B17">_xll.PriceButterfly('Fly Params'!$B$4,A17,'Fly Params'!$B$6,'Fly Params'!$B$7,'Fly Params'!$B$8,'Fly Params'!$B$9,'Fly Params'!$B$10)</f>
        <v>1.63389471493233</v>
      </c>
    </row>
    <row r="18" spans="1:2" x14ac:dyDescent="0.35">
      <c r="A18" s="1">
        <v>0.26</v>
      </c>
      <c r="B18" s="14" cm="1">
        <f t="array" ref="B18">_xll.PriceButterfly('Fly Params'!$B$4,A18,'Fly Params'!$B$6,'Fly Params'!$B$7,'Fly Params'!$B$8,'Fly Params'!$B$9,'Fly Params'!$B$10)</f>
        <v>1.5383738961462861</v>
      </c>
    </row>
    <row r="19" spans="1:2" x14ac:dyDescent="0.35">
      <c r="A19" s="1">
        <v>0.27</v>
      </c>
      <c r="B19" s="14" cm="1">
        <f t="array" ref="B19">_xll.PriceButterfly('Fly Params'!$B$4,A19,'Fly Params'!$B$6,'Fly Params'!$B$7,'Fly Params'!$B$8,'Fly Params'!$B$9,'Fly Params'!$B$10)</f>
        <v>1.4455746876770448</v>
      </c>
    </row>
    <row r="20" spans="1:2" x14ac:dyDescent="0.35">
      <c r="A20" s="1">
        <v>0.28000000000000003</v>
      </c>
      <c r="B20" s="14" cm="1">
        <f t="array" ref="B20">_xll.PriceButterfly('Fly Params'!$B$4,A20,'Fly Params'!$B$6,'Fly Params'!$B$7,'Fly Params'!$B$8,'Fly Params'!$B$9,'Fly Params'!$B$10)</f>
        <v>1.3527977916074612</v>
      </c>
    </row>
    <row r="21" spans="1:2" x14ac:dyDescent="0.35">
      <c r="A21" s="1">
        <v>0.28999999999999998</v>
      </c>
      <c r="B21" s="14" cm="1">
        <f t="array" ref="B21">_xll.PriceButterfly('Fly Params'!$B$4,A21,'Fly Params'!$B$6,'Fly Params'!$B$7,'Fly Params'!$B$8,'Fly Params'!$B$9,'Fly Params'!$B$10)</f>
        <v>1.2645245399924967</v>
      </c>
    </row>
    <row r="22" spans="1:2" x14ac:dyDescent="0.35">
      <c r="A22" s="1">
        <v>0.3</v>
      </c>
      <c r="B22" s="14" cm="1">
        <f t="array" ref="B22">_xll.PriceButterfly('Fly Params'!$B$4,A22,'Fly Params'!$B$6,'Fly Params'!$B$7,'Fly Params'!$B$8,'Fly Params'!$B$9,'Fly Params'!$B$10)</f>
        <v>1.1777505209969146</v>
      </c>
    </row>
    <row r="23" spans="1:2" x14ac:dyDescent="0.35">
      <c r="A23" s="1">
        <v>0.31</v>
      </c>
      <c r="B23" s="14" cm="1">
        <f t="array" ref="B23">_xll.PriceButterfly('Fly Params'!$B$4,A23,'Fly Params'!$B$6,'Fly Params'!$B$7,'Fly Params'!$B$8,'Fly Params'!$B$9,'Fly Params'!$B$10)</f>
        <v>1.0977296836683994</v>
      </c>
    </row>
    <row r="24" spans="1:2" x14ac:dyDescent="0.35">
      <c r="A24" s="1">
        <v>0.32</v>
      </c>
      <c r="B24" s="14" cm="1">
        <f t="array" ref="B24">_xll.PriceButterfly('Fly Params'!$B$4,A24,'Fly Params'!$B$6,'Fly Params'!$B$7,'Fly Params'!$B$8,'Fly Params'!$B$9,'Fly Params'!$B$10)</f>
        <v>1.0235488612128414</v>
      </c>
    </row>
    <row r="25" spans="1:2" x14ac:dyDescent="0.35">
      <c r="A25" s="1">
        <v>0.33</v>
      </c>
      <c r="B25" s="14" cm="1">
        <f t="array" ref="B25">_xll.PriceButterfly('Fly Params'!$B$4,A25,'Fly Params'!$B$6,'Fly Params'!$B$7,'Fly Params'!$B$8,'Fly Params'!$B$9,'Fly Params'!$B$10)</f>
        <v>0.95668597429344437</v>
      </c>
    </row>
    <row r="26" spans="1:2" x14ac:dyDescent="0.35">
      <c r="A26" s="1">
        <v>0.34</v>
      </c>
      <c r="B26" s="14" cm="1">
        <f t="array" ref="B26">_xll.PriceButterfly('Fly Params'!$B$4,A26,'Fly Params'!$B$6,'Fly Params'!$B$7,'Fly Params'!$B$8,'Fly Params'!$B$9,'Fly Params'!$B$10)</f>
        <v>0.89632615681331451</v>
      </c>
    </row>
    <row r="27" spans="1:2" x14ac:dyDescent="0.35">
      <c r="A27" s="1">
        <v>0.35</v>
      </c>
      <c r="B27" s="14" cm="1">
        <f t="array" ref="B27">_xll.PriceButterfly('Fly Params'!$B$4,A27,'Fly Params'!$B$6,'Fly Params'!$B$7,'Fly Params'!$B$8,'Fly Params'!$B$9,'Fly Params'!$B$10)</f>
        <v>0.84301463188661074</v>
      </c>
    </row>
    <row r="28" spans="1:2" x14ac:dyDescent="0.35">
      <c r="A28" s="1">
        <v>0.36</v>
      </c>
      <c r="B28" s="14" cm="1">
        <f t="array" ref="B28">_xll.PriceButterfly('Fly Params'!$B$4,A28,'Fly Params'!$B$6,'Fly Params'!$B$7,'Fly Params'!$B$8,'Fly Params'!$B$9,'Fly Params'!$B$10)</f>
        <v>0.79858109091482099</v>
      </c>
    </row>
    <row r="29" spans="1:2" x14ac:dyDescent="0.35">
      <c r="A29" s="1">
        <v>0.37</v>
      </c>
      <c r="B29" s="14" cm="1">
        <f t="array" ref="B29">_xll.PriceButterfly('Fly Params'!$B$4,A29,'Fly Params'!$B$6,'Fly Params'!$B$7,'Fly Params'!$B$8,'Fly Params'!$B$9,'Fly Params'!$B$10)</f>
        <v>0.75757774569119007</v>
      </c>
    </row>
    <row r="30" spans="1:2" x14ac:dyDescent="0.35">
      <c r="A30" s="1">
        <v>0.38</v>
      </c>
      <c r="B30" s="14" cm="1">
        <f t="array" ref="B30">_xll.PriceButterfly('Fly Params'!$B$4,A30,'Fly Params'!$B$6,'Fly Params'!$B$7,'Fly Params'!$B$8,'Fly Params'!$B$9,'Fly Params'!$B$10)</f>
        <v>0.71314214652871044</v>
      </c>
    </row>
    <row r="31" spans="1:2" x14ac:dyDescent="0.35">
      <c r="A31" s="1">
        <v>0.39</v>
      </c>
      <c r="B31" s="14" cm="1">
        <f t="array" ref="B31">_xll.PriceButterfly('Fly Params'!$B$4,A31,'Fly Params'!$B$6,'Fly Params'!$B$7,'Fly Params'!$B$8,'Fly Params'!$B$9,'Fly Params'!$B$10)</f>
        <v>0.66480853261455408</v>
      </c>
    </row>
    <row r="32" spans="1:2" x14ac:dyDescent="0.35">
      <c r="A32" s="1">
        <v>0.4</v>
      </c>
      <c r="B32" s="14" cm="1">
        <f t="array" ref="B32">_xll.PriceButterfly('Fly Params'!$B$4,A32,'Fly Params'!$B$6,'Fly Params'!$B$7,'Fly Params'!$B$8,'Fly Params'!$B$9,'Fly Params'!$B$10)</f>
        <v>0.61607079502593898</v>
      </c>
    </row>
    <row r="33" spans="1:2" x14ac:dyDescent="0.35">
      <c r="A33" s="1">
        <v>0.41</v>
      </c>
      <c r="B33" s="14" cm="1">
        <f t="array" ref="B33">_xll.PriceButterfly('Fly Params'!$B$4,A33,'Fly Params'!$B$6,'Fly Params'!$B$7,'Fly Params'!$B$8,'Fly Params'!$B$9,'Fly Params'!$B$10)</f>
        <v>0.57285369430810995</v>
      </c>
    </row>
    <row r="34" spans="1:2" x14ac:dyDescent="0.35">
      <c r="A34" s="1">
        <v>0.42</v>
      </c>
      <c r="B34" s="14" cm="1">
        <f t="array" ref="B34">_xll.PriceButterfly('Fly Params'!$B$4,A34,'Fly Params'!$B$6,'Fly Params'!$B$7,'Fly Params'!$B$8,'Fly Params'!$B$9,'Fly Params'!$B$10)</f>
        <v>0.53927077101698728</v>
      </c>
    </row>
    <row r="35" spans="1:2" x14ac:dyDescent="0.35">
      <c r="A35" s="1">
        <v>0.43</v>
      </c>
      <c r="B35" s="14" cm="1">
        <f t="array" ref="B35">_xll.PriceButterfly('Fly Params'!$B$4,A35,'Fly Params'!$B$6,'Fly Params'!$B$7,'Fly Params'!$B$8,'Fly Params'!$B$9,'Fly Params'!$B$10)</f>
        <v>0.51328378740108604</v>
      </c>
    </row>
    <row r="36" spans="1:2" x14ac:dyDescent="0.35">
      <c r="A36" s="1">
        <v>0.44</v>
      </c>
      <c r="B36" s="14" cm="1">
        <f t="array" ref="B36">_xll.PriceButterfly('Fly Params'!$B$4,A36,'Fly Params'!$B$6,'Fly Params'!$B$7,'Fly Params'!$B$8,'Fly Params'!$B$9,'Fly Params'!$B$10)</f>
        <v>0.48979766948023062</v>
      </c>
    </row>
    <row r="37" spans="1:2" x14ac:dyDescent="0.35">
      <c r="A37" s="1">
        <v>0.45</v>
      </c>
      <c r="B37" s="14" cm="1">
        <f t="array" ref="B37">_xll.PriceButterfly('Fly Params'!$B$4,A37,'Fly Params'!$B$6,'Fly Params'!$B$7,'Fly Params'!$B$8,'Fly Params'!$B$9,'Fly Params'!$B$10)</f>
        <v>0.46582670898617451</v>
      </c>
    </row>
    <row r="38" spans="1:2" x14ac:dyDescent="0.35">
      <c r="A38" s="1">
        <v>0.46</v>
      </c>
      <c r="B38" s="14" cm="1">
        <f t="array" ref="B38">_xll.PriceButterfly('Fly Params'!$B$4,A38,'Fly Params'!$B$6,'Fly Params'!$B$7,'Fly Params'!$B$8,'Fly Params'!$B$9,'Fly Params'!$B$10)</f>
        <v>0.44074211989477519</v>
      </c>
    </row>
    <row r="39" spans="1:2" x14ac:dyDescent="0.35">
      <c r="A39" s="1">
        <v>0.47</v>
      </c>
      <c r="B39" s="14" cm="1">
        <f t="array" ref="B39">_xll.PriceButterfly('Fly Params'!$B$4,A39,'Fly Params'!$B$6,'Fly Params'!$B$7,'Fly Params'!$B$8,'Fly Params'!$B$9,'Fly Params'!$B$10)</f>
        <v>0.41404347041275891</v>
      </c>
    </row>
    <row r="40" spans="1:2" x14ac:dyDescent="0.35">
      <c r="A40" s="1">
        <v>0.48</v>
      </c>
      <c r="B40" s="14" cm="1">
        <f t="array" ref="B40">_xll.PriceButterfly('Fly Params'!$B$4,A40,'Fly Params'!$B$6,'Fly Params'!$B$7,'Fly Params'!$B$8,'Fly Params'!$B$9,'Fly Params'!$B$10)</f>
        <v>0.38512183991061377</v>
      </c>
    </row>
    <row r="41" spans="1:2" x14ac:dyDescent="0.35">
      <c r="A41" s="1">
        <v>0.49</v>
      </c>
      <c r="B41" s="14" cm="1">
        <f t="array" ref="B41">_xll.PriceButterfly('Fly Params'!$B$4,A41,'Fly Params'!$B$6,'Fly Params'!$B$7,'Fly Params'!$B$8,'Fly Params'!$B$9,'Fly Params'!$B$10)</f>
        <v>0.35582019392578701</v>
      </c>
    </row>
    <row r="42" spans="1:2" x14ac:dyDescent="0.35">
      <c r="A42" s="1">
        <v>0.5</v>
      </c>
      <c r="B42" s="14" cm="1">
        <f t="array" ref="B42">_xll.PriceButterfly('Fly Params'!$B$4,A42,'Fly Params'!$B$6,'Fly Params'!$B$7,'Fly Params'!$B$8,'Fly Params'!$B$9,'Fly Params'!$B$10)</f>
        <v>0.32770480078904463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Fly Params</vt:lpstr>
      <vt:lpstr>Price vs spot</vt:lpstr>
      <vt:lpstr>Price vs barrier</vt:lpstr>
      <vt:lpstr>Price vs vol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Smolski</dc:creator>
  <cp:lastModifiedBy>Antoni Smolski</cp:lastModifiedBy>
  <dcterms:created xsi:type="dcterms:W3CDTF">2026-06-14T16:23:42Z</dcterms:created>
  <dcterms:modified xsi:type="dcterms:W3CDTF">2026-06-14T18:21:02Z</dcterms:modified>
</cp:coreProperties>
</file>